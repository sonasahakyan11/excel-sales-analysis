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240" yWindow="108" windowWidth="14808" windowHeight="8016" firstSheet="2" activeTab="2"/>
  </bookViews>
  <sheets>
    <sheet name="Sheet1" sheetId="1" r:id="rId1"/>
    <sheet name="Sheet2" sheetId="2" r:id="rId2"/>
    <sheet name="Sales Data Analysis" sheetId="3" r:id="rId3"/>
    <sheet name="Sheet3" sheetId="4" r:id="rId4"/>
    <sheet name="xlookup" sheetId="5" r:id="rId5"/>
    <sheet name="order history" sheetId="6" r:id="rId6"/>
    <sheet name="may order" sheetId="7" r:id="rId7"/>
  </sheets>
  <definedNames>
    <definedName name="_xlnm._FilterDatabase" localSheetId="1" hidden="1">Sheet2!$H$3:$H$7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K2" i="3"/>
  <c r="K3" i="3"/>
  <c r="K4" i="3"/>
  <c r="E2" i="5"/>
  <c r="C2" i="7"/>
  <c r="D2" i="7"/>
  <c r="E2" i="7"/>
  <c r="F2" i="7"/>
  <c r="G2" i="7"/>
  <c r="B2" i="7"/>
  <c r="E3" i="5"/>
  <c r="E4" i="5"/>
  <c r="E5" i="5"/>
  <c r="E6" i="5"/>
  <c r="E7" i="5"/>
  <c r="E8" i="5"/>
  <c r="B9" i="3"/>
  <c r="B11" i="3"/>
  <c r="H3" i="3"/>
  <c r="H4" i="3"/>
  <c r="E2" i="4"/>
  <c r="E3" i="4"/>
  <c r="E4" i="4"/>
  <c r="E6" i="3"/>
  <c r="E2" i="3"/>
  <c r="E4" i="3"/>
  <c r="E3" i="3"/>
  <c r="E5" i="3"/>
  <c r="D2" i="1"/>
  <c r="D3" i="1"/>
  <c r="D4" i="1"/>
</calcChain>
</file>

<file path=xl/sharedStrings.xml><?xml version="1.0" encoding="utf-8"?>
<sst xmlns="http://schemas.openxmlformats.org/spreadsheetml/2006/main" count="144" uniqueCount="87">
  <si>
    <t>Category</t>
  </si>
  <si>
    <t>Budget</t>
  </si>
  <si>
    <t>Actual</t>
  </si>
  <si>
    <t>Status</t>
  </si>
  <si>
    <t>Airfare</t>
  </si>
  <si>
    <t>Food</t>
  </si>
  <si>
    <t>Entertainment</t>
  </si>
  <si>
    <t>Kevin's Cookie Company</t>
  </si>
  <si>
    <t>Store Number</t>
  </si>
  <si>
    <t>State</t>
  </si>
  <si>
    <t>Revenue</t>
  </si>
  <si>
    <t>Expenses</t>
  </si>
  <si>
    <t>Profit/Loss</t>
  </si>
  <si>
    <t>Year Opened</t>
  </si>
  <si>
    <t>NJ</t>
  </si>
  <si>
    <t>NY</t>
  </si>
  <si>
    <t>CT</t>
  </si>
  <si>
    <t>PA</t>
  </si>
  <si>
    <t>DE</t>
  </si>
  <si>
    <t>Name</t>
  </si>
  <si>
    <t>Department</t>
  </si>
  <si>
    <t>Sales</t>
  </si>
  <si>
    <t>Month</t>
  </si>
  <si>
    <t>Performance</t>
  </si>
  <si>
    <t>David</t>
  </si>
  <si>
    <t>Mar</t>
  </si>
  <si>
    <t>Mark</t>
  </si>
  <si>
    <t>Feb</t>
  </si>
  <si>
    <t>John</t>
  </si>
  <si>
    <t>Jan</t>
  </si>
  <si>
    <t>Sara</t>
  </si>
  <si>
    <t>IT</t>
  </si>
  <si>
    <t>Anna</t>
  </si>
  <si>
    <t>HR</t>
  </si>
  <si>
    <t>Metric</t>
  </si>
  <si>
    <t>Value</t>
  </si>
  <si>
    <t>Total Sales:</t>
  </si>
  <si>
    <t>Average Sales:</t>
  </si>
  <si>
    <t>Cookie Names</t>
  </si>
  <si>
    <t>Price</t>
  </si>
  <si>
    <t>Cookie</t>
  </si>
  <si>
    <t>Classic Chocolate Chip Cookie</t>
  </si>
  <si>
    <t>Double Chocolate Chunk Cookie</t>
  </si>
  <si>
    <t>Snickerdoodle Cookie</t>
  </si>
  <si>
    <t>Peanut Butter Delight</t>
  </si>
  <si>
    <t>Oatmeal Raisin Cookie</t>
  </si>
  <si>
    <t>White Chocolate Macadamia Nut</t>
  </si>
  <si>
    <t>Salted Caramel Cookie</t>
  </si>
  <si>
    <t>Lemon Sugar Cookie</t>
  </si>
  <si>
    <t>Triple Berry Cookie</t>
  </si>
  <si>
    <t>Mocha Espresso Cookie</t>
  </si>
  <si>
    <t>Almond Biscotti Cookie</t>
  </si>
  <si>
    <t>Mint Chocolate Chip Cookie</t>
  </si>
  <si>
    <t>Red Velvet Crinkle Cookie</t>
  </si>
  <si>
    <t>Butterscotch Pecan Cookie</t>
  </si>
  <si>
    <t>S’mores Cookie</t>
  </si>
  <si>
    <t>Client Name</t>
  </si>
  <si>
    <t>Order Amount ($)</t>
  </si>
  <si>
    <t>TechNova Solutions</t>
  </si>
  <si>
    <t>GreenLeaf Organics</t>
  </si>
  <si>
    <t>Summit Apparel Co.</t>
  </si>
  <si>
    <t>Skyline Ventures</t>
  </si>
  <si>
    <t>Pinnacle Marketing Group</t>
  </si>
  <si>
    <t>NextGen Innovations</t>
  </si>
  <si>
    <t>Evergreen Landscaping</t>
  </si>
  <si>
    <t>BlueWave Technologies</t>
  </si>
  <si>
    <t>Peak Fitness Equipment</t>
  </si>
  <si>
    <t>Harmony Health Products</t>
  </si>
  <si>
    <t>Stellar Events Agency</t>
  </si>
  <si>
    <t>EcoSphere Supplies</t>
  </si>
  <si>
    <t>Visionary Design Studio</t>
  </si>
  <si>
    <t>SwiftLogistics LLC</t>
  </si>
  <si>
    <t>UrbanCraft Furniture</t>
  </si>
  <si>
    <t>BrightPath Education</t>
  </si>
  <si>
    <t>Dynamic Power Systems</t>
  </si>
  <si>
    <t>Oceanic Travel Services</t>
  </si>
  <si>
    <t>Sunrise Solar Panels</t>
  </si>
  <si>
    <t>Precision Print Services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</si>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</sst>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$-409]* #,##0.00_);_([$$-409]* \(#,##0.00\);_([$$-409]* &quot;-&quot;??_);_(@_)"/>
    <numFmt numFmtId="167" formatCode="_(&quot;$&quot;* #,##0_);_(&quot;$&quot;* \(#,##0\);_(&quot;$&quot;* &quot;-&quot;??_);_(@_)"/>
    <numFmt numFmtId="168" formatCode="_(* #,##0_);_(* \(#,##0\);_(* &quot;-&quot;??_);_(@_)"/>
    <numFmt numFmtId="169" formatCode="_([$$-409]* #,##0_);_([$$-409]* \(#,##0\);_([$$-409]* &quot;-&quot;??_);_(@_)"/>
  </numFmts>
  <fonts count="12"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1"/>
      <color theme="0"/>
      <name val="Arial"/>
      <scheme val="minor"/>
    </font>
    <font>
      <b/>
      <sz val="11"/>
      <color theme="0"/>
      <name val="Arial"/>
      <family val="2"/>
      <scheme val="minor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sz val="16"/>
      <color rgb="FF000000"/>
      <name val="Aptos Narrow"/>
      <family val="2"/>
    </font>
    <font>
      <b/>
      <sz val="14"/>
      <color rgb="FFFFFFFF"/>
      <name val="Aptos Narrow"/>
      <family val="2"/>
    </font>
    <font>
      <b/>
      <sz val="10"/>
      <color rgb="FFFFFFFF"/>
      <name val="Aptos Narrow"/>
      <family val="2"/>
    </font>
    <font>
      <sz val="14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0E6F5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39">
    <xf numFmtId="0" fontId="0" fillId="0" borderId="0" xfId="0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4" fillId="3" borderId="0" xfId="0" applyFont="1" applyFill="1"/>
    <xf numFmtId="0" fontId="5" fillId="3" borderId="3" xfId="0" applyFont="1" applyFill="1" applyBorder="1"/>
    <xf numFmtId="0" fontId="5" fillId="3" borderId="4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2" borderId="1" xfId="0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7" fillId="0" borderId="0" xfId="0" applyFont="1"/>
    <xf numFmtId="0" fontId="8" fillId="5" borderId="5" xfId="0" applyFont="1" applyFill="1" applyBorder="1"/>
    <xf numFmtId="0" fontId="8" fillId="5" borderId="6" xfId="0" applyFont="1" applyFill="1" applyBorder="1"/>
    <xf numFmtId="164" fontId="8" fillId="5" borderId="6" xfId="0" applyNumberFormat="1" applyFont="1" applyFill="1" applyBorder="1"/>
    <xf numFmtId="0" fontId="8" fillId="0" borderId="5" xfId="0" applyFont="1" applyBorder="1"/>
    <xf numFmtId="164" fontId="8" fillId="0" borderId="6" xfId="0" applyNumberFormat="1" applyFont="1" applyBorder="1"/>
    <xf numFmtId="0" fontId="8" fillId="0" borderId="7" xfId="0" applyFont="1" applyBorder="1"/>
    <xf numFmtId="164" fontId="8" fillId="0" borderId="8" xfId="0" applyNumberFormat="1" applyFont="1" applyBorder="1"/>
    <xf numFmtId="0" fontId="9" fillId="4" borderId="5" xfId="0" applyFont="1" applyFill="1" applyBorder="1"/>
    <xf numFmtId="0" fontId="10" fillId="4" borderId="6" xfId="0" applyFont="1" applyFill="1" applyBorder="1"/>
    <xf numFmtId="0" fontId="11" fillId="5" borderId="5" xfId="0" applyFont="1" applyFill="1" applyBorder="1"/>
    <xf numFmtId="0" fontId="11" fillId="5" borderId="6" xfId="0" applyFont="1" applyFill="1" applyBorder="1"/>
    <xf numFmtId="164" fontId="11" fillId="5" borderId="6" xfId="0" applyNumberFormat="1" applyFont="1" applyFill="1" applyBorder="1"/>
    <xf numFmtId="0" fontId="11" fillId="6" borderId="5" xfId="0" applyFont="1" applyFill="1" applyBorder="1"/>
    <xf numFmtId="164" fontId="11" fillId="7" borderId="6" xfId="0" applyNumberFormat="1" applyFont="1" applyFill="1" applyBorder="1"/>
    <xf numFmtId="0" fontId="1" fillId="2" borderId="2" xfId="0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9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70" formatCode="m/d/yyyy"/>
    </dxf>
    <dxf>
      <numFmt numFmtId="170" formatCode="m/d/yyyy"/>
    </dxf>
    <dxf>
      <numFmt numFmtId="168" formatCode="_(* #,##0_);_(* \(#,##0\);_(* &quot;-&quot;??_);_(@_)"/>
    </dxf>
    <dxf>
      <numFmt numFmtId="169" formatCode="_([$$-409]* #,##0_);_([$$-409]* \(#,##0\);_([$$-409]* &quot;-&quot;??_);_(@_)"/>
    </dxf>
    <dxf>
      <numFmt numFmtId="30" formatCode="@"/>
    </dxf>
    <dxf>
      <font>
        <b val="0"/>
      </font>
    </dxf>
    <dxf>
      <numFmt numFmtId="0" formatCode="General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Category"/>
    <tableColumn id="2" name="Budget" dataDxfId="19"/>
    <tableColumn id="3" name="Actual" dataDxfId="18"/>
    <tableColumn id="4" name="Status" dataDxfId="17">
      <calculatedColumnFormula>IF(C2&lt;B2,"Within budget","Over budget - investigate")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6" totalsRowShown="0" headerRowDxfId="16">
  <autoFilter ref="A1:E6"/>
  <sortState ref="A2:E6">
    <sortCondition descending="1" ref="C1:C6"/>
  </sortState>
  <tableColumns count="5">
    <tableColumn id="1" name="Name"/>
    <tableColumn id="2" name="Department" dataDxfId="15"/>
    <tableColumn id="3" name="Sales" dataDxfId="14" totalsRowDxfId="13"/>
    <tableColumn id="4" name="Month" dataDxfId="12"/>
    <tableColumn id="5" name="Performance" dataDxfId="11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8:B11" totalsRowShown="0" headerRowDxfId="10">
  <autoFilter ref="A8:B11"/>
  <tableColumns count="2">
    <tableColumn id="1" name="Metric" dataDxfId="9"/>
    <tableColumn id="2" name="Value" dataDxfId="8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7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7" displayName="Table7" ref="J1:K4" totalsRowShown="0">
  <autoFilter ref="J1:K4"/>
  <tableColumns count="2">
    <tableColumn id="1" name="Name" dataDxfId="6">
      <calculatedColumnFormula>_xlfn.XLOOKUP(K2,Table3[Month],Table3[Name],FALSE)</calculatedColumnFormula>
    </tableColumn>
    <tableColumn id="4" name="Department" dataDxfId="5">
      <calculatedColumnFormula>_xlfn.XLOOKUP(J2,Table3[Name],Table3[Department],"Not Found")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6" displayName="Table6" ref="A1:B16" totalsRowShown="0" headerRowDxfId="4" dataDxfId="3" tableBorderDxfId="2">
  <autoFilter ref="A1:B16"/>
  <tableColumns count="2">
    <tableColumn id="1" name="Cookie Names" dataDxfId="1"/>
    <tableColumn id="2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" sqref="D2"/>
    </sheetView>
  </sheetViews>
  <sheetFormatPr defaultRowHeight="13.8"/>
  <cols>
    <col min="1" max="1" width="14" bestFit="1" customWidth="1"/>
    <col min="2" max="2" width="9.69921875" bestFit="1" customWidth="1"/>
    <col min="3" max="3" width="10.8984375" bestFit="1" customWidth="1"/>
    <col min="4" max="4" width="23.5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600</v>
      </c>
      <c r="C2" s="1">
        <v>525</v>
      </c>
      <c r="D2" t="str">
        <f t="shared" ref="D2:D4" si="0">IF(C2&lt;B2,"Within budget","Over budget - investigate")</f>
        <v>Within budget</v>
      </c>
    </row>
    <row r="3" spans="1:4">
      <c r="A3" t="s">
        <v>5</v>
      </c>
      <c r="B3" s="1">
        <v>350</v>
      </c>
      <c r="C3" s="1">
        <v>296</v>
      </c>
      <c r="D3" t="str">
        <f t="shared" si="0"/>
        <v>Within budget</v>
      </c>
    </row>
    <row r="4" spans="1:4">
      <c r="A4" t="s">
        <v>6</v>
      </c>
      <c r="B4" s="1">
        <v>250</v>
      </c>
      <c r="C4" s="1">
        <v>1500</v>
      </c>
      <c r="D4" t="str">
        <f t="shared" si="0"/>
        <v>Over budget - investigate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3" sqref="H3"/>
    </sheetView>
  </sheetViews>
  <sheetFormatPr defaultRowHeight="13.8"/>
  <cols>
    <col min="1" max="1" width="15.8984375" bestFit="1" customWidth="1"/>
    <col min="2" max="2" width="8" bestFit="1" customWidth="1"/>
    <col min="3" max="4" width="11.8984375" bestFit="1" customWidth="1"/>
    <col min="5" max="5" width="12.8984375" bestFit="1" customWidth="1"/>
    <col min="6" max="6" width="14.69921875" bestFit="1" customWidth="1"/>
    <col min="8" max="8" width="13.59765625" bestFit="1" customWidth="1"/>
  </cols>
  <sheetData>
    <row r="1" spans="1:8">
      <c r="A1" s="38" t="s">
        <v>7</v>
      </c>
      <c r="B1" s="38"/>
      <c r="C1" s="38"/>
      <c r="D1" s="38"/>
      <c r="E1" s="38"/>
      <c r="F1" s="38"/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H3" t="s">
        <v>8</v>
      </c>
    </row>
    <row r="4" spans="1:8">
      <c r="A4">
        <v>1</v>
      </c>
      <c r="B4" t="s">
        <v>14</v>
      </c>
      <c r="C4" s="2">
        <v>1018257</v>
      </c>
      <c r="D4" s="2">
        <v>493054</v>
      </c>
      <c r="E4" s="3">
        <v>525203</v>
      </c>
      <c r="F4" s="4">
        <v>39944</v>
      </c>
      <c r="H4">
        <v>1</v>
      </c>
    </row>
    <row r="5" spans="1:8">
      <c r="A5">
        <v>2</v>
      </c>
      <c r="B5" t="s">
        <v>14</v>
      </c>
      <c r="C5" s="2">
        <v>931871</v>
      </c>
      <c r="D5" s="2">
        <v>1490438</v>
      </c>
      <c r="E5" s="3">
        <v>-558567</v>
      </c>
      <c r="F5" s="4">
        <v>39859</v>
      </c>
      <c r="H5">
        <v>2</v>
      </c>
    </row>
    <row r="6" spans="1:8">
      <c r="A6">
        <v>3</v>
      </c>
      <c r="B6" t="s">
        <v>15</v>
      </c>
      <c r="C6" s="2">
        <v>1594874</v>
      </c>
      <c r="D6" s="2">
        <v>1388020</v>
      </c>
      <c r="E6" s="3">
        <v>206854</v>
      </c>
      <c r="F6" s="4">
        <v>38351</v>
      </c>
      <c r="H6">
        <v>8</v>
      </c>
    </row>
    <row r="7" spans="1:8">
      <c r="A7">
        <v>4</v>
      </c>
      <c r="B7" t="s">
        <v>15</v>
      </c>
      <c r="C7" s="2">
        <v>1748345</v>
      </c>
      <c r="D7" s="2">
        <v>903161</v>
      </c>
      <c r="E7" s="3">
        <v>845184</v>
      </c>
      <c r="F7" s="4">
        <v>42531</v>
      </c>
      <c r="H7">
        <v>9</v>
      </c>
    </row>
    <row r="8" spans="1:8">
      <c r="A8">
        <v>5</v>
      </c>
      <c r="B8" t="s">
        <v>16</v>
      </c>
      <c r="C8" s="2">
        <v>2446179</v>
      </c>
      <c r="D8" s="2">
        <v>1178022</v>
      </c>
      <c r="E8" s="3">
        <v>1268157</v>
      </c>
      <c r="F8" s="4">
        <v>42783</v>
      </c>
    </row>
    <row r="9" spans="1:8">
      <c r="A9">
        <v>6</v>
      </c>
      <c r="B9" t="s">
        <v>16</v>
      </c>
      <c r="C9" s="2">
        <v>2187544</v>
      </c>
      <c r="D9" s="2">
        <v>795496</v>
      </c>
      <c r="E9" s="3">
        <v>1392048</v>
      </c>
      <c r="F9" s="4">
        <v>37495</v>
      </c>
    </row>
    <row r="10" spans="1:8">
      <c r="A10">
        <v>7</v>
      </c>
      <c r="B10" t="s">
        <v>16</v>
      </c>
      <c r="C10" s="2">
        <v>845272</v>
      </c>
      <c r="D10" s="2">
        <v>1519869</v>
      </c>
      <c r="E10" s="3">
        <v>-674597</v>
      </c>
      <c r="F10" s="4">
        <v>39132</v>
      </c>
    </row>
    <row r="11" spans="1:8">
      <c r="A11">
        <v>8</v>
      </c>
      <c r="B11" t="s">
        <v>14</v>
      </c>
      <c r="C11" s="2">
        <v>926397</v>
      </c>
      <c r="D11" s="2">
        <v>1046450</v>
      </c>
      <c r="E11" s="3">
        <v>-120053</v>
      </c>
      <c r="F11" s="4">
        <v>40235</v>
      </c>
    </row>
    <row r="12" spans="1:8">
      <c r="A12">
        <v>9</v>
      </c>
      <c r="B12" t="s">
        <v>14</v>
      </c>
      <c r="C12" s="2">
        <v>1714539</v>
      </c>
      <c r="D12" s="2">
        <v>403308</v>
      </c>
      <c r="E12" s="3">
        <v>1311231</v>
      </c>
      <c r="F12" s="4">
        <v>38058</v>
      </c>
    </row>
    <row r="13" spans="1:8">
      <c r="A13">
        <v>10</v>
      </c>
      <c r="B13" t="s">
        <v>15</v>
      </c>
      <c r="C13" s="2">
        <v>2257912</v>
      </c>
      <c r="D13" s="2">
        <v>777339</v>
      </c>
      <c r="E13" s="3">
        <v>1480573</v>
      </c>
      <c r="F13" s="4">
        <v>43631</v>
      </c>
    </row>
    <row r="14" spans="1:8">
      <c r="A14">
        <v>11</v>
      </c>
      <c r="B14" t="s">
        <v>17</v>
      </c>
      <c r="C14" s="2">
        <v>721331</v>
      </c>
      <c r="D14" s="2">
        <v>1744825</v>
      </c>
      <c r="E14" s="3">
        <v>-1023494</v>
      </c>
      <c r="F14" s="4">
        <v>43845</v>
      </c>
    </row>
    <row r="15" spans="1:8">
      <c r="A15">
        <v>12</v>
      </c>
      <c r="B15" t="s">
        <v>17</v>
      </c>
      <c r="C15" s="2">
        <v>1724526</v>
      </c>
      <c r="D15" s="2">
        <v>1171129</v>
      </c>
      <c r="E15" s="3">
        <v>553397</v>
      </c>
      <c r="F15" s="4">
        <v>41430</v>
      </c>
    </row>
    <row r="16" spans="1:8">
      <c r="A16">
        <v>13</v>
      </c>
      <c r="B16" t="s">
        <v>17</v>
      </c>
      <c r="C16" s="2">
        <v>1355304</v>
      </c>
      <c r="D16" s="2">
        <v>539211</v>
      </c>
      <c r="E16" s="3">
        <v>816093</v>
      </c>
      <c r="F16" s="4">
        <v>37456</v>
      </c>
    </row>
    <row r="17" spans="1:6">
      <c r="A17">
        <v>14</v>
      </c>
      <c r="B17" t="s">
        <v>18</v>
      </c>
      <c r="C17" s="2">
        <v>2161193</v>
      </c>
      <c r="D17" s="2">
        <v>1482497</v>
      </c>
      <c r="E17" s="3">
        <v>678696</v>
      </c>
      <c r="F17" s="4">
        <v>43786</v>
      </c>
    </row>
    <row r="18" spans="1:6">
      <c r="A18">
        <v>15</v>
      </c>
      <c r="B18" t="s">
        <v>18</v>
      </c>
      <c r="C18" s="2">
        <v>2110777</v>
      </c>
      <c r="D18" s="2">
        <v>795381</v>
      </c>
      <c r="E18" s="3">
        <v>1315396</v>
      </c>
      <c r="F18" s="4">
        <v>41176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H9" sqref="H9"/>
    </sheetView>
  </sheetViews>
  <sheetFormatPr defaultRowHeight="13.8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  <col min="10" max="11" width="14.296875" bestFit="1" customWidth="1"/>
  </cols>
  <sheetData>
    <row r="1" spans="1:11">
      <c r="A1" s="5" t="s">
        <v>19</v>
      </c>
      <c r="B1" s="5" t="s">
        <v>20</v>
      </c>
      <c r="C1" s="6" t="s">
        <v>21</v>
      </c>
      <c r="D1" s="4" t="s">
        <v>22</v>
      </c>
      <c r="E1" s="4" t="s">
        <v>23</v>
      </c>
      <c r="G1" t="s">
        <v>19</v>
      </c>
      <c r="H1" t="s">
        <v>20</v>
      </c>
      <c r="J1" t="s">
        <v>19</v>
      </c>
      <c r="K1" t="s">
        <v>20</v>
      </c>
    </row>
    <row r="2" spans="1:11">
      <c r="A2" t="s">
        <v>24</v>
      </c>
      <c r="B2" s="5" t="s">
        <v>21</v>
      </c>
      <c r="C2" s="7">
        <v>2000</v>
      </c>
      <c r="D2" s="4" t="s">
        <v>25</v>
      </c>
      <c r="E2" s="4" t="str">
        <f>IF(C2&gt;1000, "Good", "Low")</f>
        <v>Good</v>
      </c>
      <c r="G2" t="s">
        <v>24</v>
      </c>
      <c r="H2" t="str">
        <f>IFERROR(VLOOKUP(G2,Table3[#All],2,FALSE), "Not found")</f>
        <v>Sales</v>
      </c>
      <c r="J2" t="s">
        <v>24</v>
      </c>
      <c r="K2" t="str">
        <f>_xlfn.XLOOKUP(J2,Table3[Name],Table3[Department],"Not Found")</f>
        <v>Sales</v>
      </c>
    </row>
    <row r="3" spans="1:11">
      <c r="A3" t="s">
        <v>26</v>
      </c>
      <c r="B3" s="5" t="s">
        <v>21</v>
      </c>
      <c r="C3" s="7">
        <v>1500</v>
      </c>
      <c r="D3" s="4" t="s">
        <v>27</v>
      </c>
      <c r="E3" s="4" t="str">
        <f>IF(C3&gt;1000, "Good", "Low")</f>
        <v>Good</v>
      </c>
      <c r="G3" t="s">
        <v>28</v>
      </c>
      <c r="H3" t="str">
        <f>IFERROR(VLOOKUP(G3,Table3[#All],2,FALSE), "Not found")</f>
        <v>Sales</v>
      </c>
      <c r="J3" t="s">
        <v>28</v>
      </c>
      <c r="K3" t="str">
        <f>_xlfn.XLOOKUP(J3,Table3[Name],Table3[Department],"Not Found")</f>
        <v>Sales</v>
      </c>
    </row>
    <row r="4" spans="1:11">
      <c r="A4" t="s">
        <v>28</v>
      </c>
      <c r="B4" s="5" t="s">
        <v>21</v>
      </c>
      <c r="C4" s="7">
        <v>1200</v>
      </c>
      <c r="D4" s="4" t="s">
        <v>29</v>
      </c>
      <c r="E4" s="4" t="str">
        <f>IF(C4&gt;1000, "Good", "Low")</f>
        <v>Good</v>
      </c>
      <c r="G4" t="s">
        <v>30</v>
      </c>
      <c r="H4" t="str">
        <f>IFERROR(VLOOKUP(G4,Table3[#All],2,FALSE), "Not found")</f>
        <v>IT</v>
      </c>
      <c r="J4" t="s">
        <v>30</v>
      </c>
      <c r="K4" t="str">
        <f>_xlfn.XLOOKUP(J4,Table3[Name],Table3[Department],"Not Found")</f>
        <v>IT</v>
      </c>
    </row>
    <row r="5" spans="1:11">
      <c r="A5" t="s">
        <v>30</v>
      </c>
      <c r="B5" s="5" t="s">
        <v>31</v>
      </c>
      <c r="C5" s="7">
        <v>900</v>
      </c>
      <c r="D5" s="4" t="s">
        <v>27</v>
      </c>
      <c r="E5" s="4" t="str">
        <f>IF(C5&gt;1000, "Good", "Low")</f>
        <v>Low</v>
      </c>
    </row>
    <row r="6" spans="1:11">
      <c r="A6" t="s">
        <v>32</v>
      </c>
      <c r="B6" s="5" t="s">
        <v>33</v>
      </c>
      <c r="C6" s="7">
        <v>800</v>
      </c>
      <c r="D6" s="4" t="s">
        <v>29</v>
      </c>
      <c r="E6" s="4" t="str">
        <f>IF(C6&gt;1000, "Good", "Low")</f>
        <v>Low</v>
      </c>
    </row>
    <row r="8" spans="1:11">
      <c r="A8" t="s">
        <v>34</v>
      </c>
      <c r="B8" s="7" t="s">
        <v>35</v>
      </c>
    </row>
    <row r="9" spans="1:11">
      <c r="A9" s="8" t="s">
        <v>36</v>
      </c>
      <c r="B9" s="9">
        <f>SUBTOTAL(9, (C2:C6))</f>
        <v>6400</v>
      </c>
    </row>
    <row r="10" spans="1:11">
      <c r="A10" s="8"/>
      <c r="B10" s="9"/>
    </row>
    <row r="11" spans="1:11">
      <c r="A11" s="8" t="s">
        <v>37</v>
      </c>
      <c r="B11" s="9">
        <f>SUBTOTAL(1, (C2:C6))</f>
        <v>1280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0" sqref="E10"/>
    </sheetView>
  </sheetViews>
  <sheetFormatPr defaultRowHeight="13.8"/>
  <cols>
    <col min="1" max="1" width="30.69921875" bestFit="1" customWidth="1"/>
    <col min="4" max="4" width="29.59765625" bestFit="1" customWidth="1"/>
    <col min="5" max="5" width="8.69921875" bestFit="1" customWidth="1"/>
  </cols>
  <sheetData>
    <row r="1" spans="1:5">
      <c r="A1" s="10" t="s">
        <v>38</v>
      </c>
      <c r="B1" s="10" t="s">
        <v>39</v>
      </c>
      <c r="D1" s="11" t="s">
        <v>40</v>
      </c>
      <c r="E1" s="12" t="s">
        <v>39</v>
      </c>
    </row>
    <row r="2" spans="1:5">
      <c r="A2" s="34" t="s">
        <v>41</v>
      </c>
      <c r="B2" s="35">
        <v>2.5</v>
      </c>
      <c r="D2" s="13" t="s">
        <v>41</v>
      </c>
      <c r="E2" s="14">
        <f>VLOOKUP(D2,Table6[#All],2,FALSE)</f>
        <v>2.5</v>
      </c>
    </row>
    <row r="3" spans="1:5">
      <c r="A3" s="36" t="s">
        <v>42</v>
      </c>
      <c r="B3" s="37">
        <v>3</v>
      </c>
      <c r="D3" s="15" t="s">
        <v>43</v>
      </c>
      <c r="E3" s="14">
        <f>VLOOKUP(D3,Table6[#All],2,FALSE)</f>
        <v>2.25</v>
      </c>
    </row>
    <row r="4" spans="1:5">
      <c r="A4" s="34" t="s">
        <v>44</v>
      </c>
      <c r="B4" s="35">
        <v>2.75</v>
      </c>
      <c r="D4" s="16" t="s">
        <v>42</v>
      </c>
      <c r="E4" s="14">
        <f>VLOOKUP(D4,Table6[#All],2,FALSE)</f>
        <v>3</v>
      </c>
    </row>
    <row r="5" spans="1:5">
      <c r="A5" s="36" t="s">
        <v>45</v>
      </c>
      <c r="B5" s="37">
        <v>2.5</v>
      </c>
    </row>
    <row r="6" spans="1:5">
      <c r="A6" s="34" t="s">
        <v>46</v>
      </c>
      <c r="B6" s="35">
        <v>3.25</v>
      </c>
    </row>
    <row r="7" spans="1:5">
      <c r="A7" s="36" t="s">
        <v>47</v>
      </c>
      <c r="B7" s="37">
        <v>3</v>
      </c>
    </row>
    <row r="8" spans="1:5">
      <c r="A8" s="34" t="s">
        <v>43</v>
      </c>
      <c r="B8" s="35">
        <v>2.25</v>
      </c>
    </row>
    <row r="9" spans="1:5">
      <c r="A9" s="36" t="s">
        <v>48</v>
      </c>
      <c r="B9" s="37">
        <v>2.5</v>
      </c>
    </row>
    <row r="10" spans="1:5">
      <c r="A10" s="34" t="s">
        <v>49</v>
      </c>
      <c r="B10" s="35">
        <v>3</v>
      </c>
    </row>
    <row r="11" spans="1:5">
      <c r="A11" s="36" t="s">
        <v>50</v>
      </c>
      <c r="B11" s="37">
        <v>3.25</v>
      </c>
    </row>
    <row r="12" spans="1:5">
      <c r="A12" s="34" t="s">
        <v>51</v>
      </c>
      <c r="B12" s="35">
        <v>2.75</v>
      </c>
    </row>
    <row r="13" spans="1:5">
      <c r="A13" s="36" t="s">
        <v>52</v>
      </c>
      <c r="B13" s="37">
        <v>3</v>
      </c>
    </row>
    <row r="14" spans="1:5">
      <c r="A14" s="34" t="s">
        <v>53</v>
      </c>
      <c r="B14" s="35">
        <v>3.25</v>
      </c>
    </row>
    <row r="15" spans="1:5">
      <c r="A15" s="36" t="s">
        <v>54</v>
      </c>
      <c r="B15" s="37">
        <v>3</v>
      </c>
    </row>
    <row r="16" spans="1:5">
      <c r="A16" s="34" t="s">
        <v>55</v>
      </c>
      <c r="B16" s="35">
        <v>3.5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15" sqref="D15"/>
    </sheetView>
  </sheetViews>
  <sheetFormatPr defaultRowHeight="13.8"/>
  <cols>
    <col min="1" max="1" width="32.59765625" bestFit="1" customWidth="1"/>
    <col min="2" max="2" width="22.8984375" bestFit="1" customWidth="1"/>
    <col min="4" max="4" width="32.59765625" bestFit="1" customWidth="1"/>
    <col min="5" max="5" width="22.8984375" bestFit="1" customWidth="1"/>
  </cols>
  <sheetData>
    <row r="1" spans="1:5" ht="21">
      <c r="A1" s="17" t="s">
        <v>56</v>
      </c>
      <c r="B1" s="18" t="s">
        <v>57</v>
      </c>
      <c r="C1" s="19"/>
      <c r="D1" s="17" t="s">
        <v>56</v>
      </c>
      <c r="E1" s="18" t="s">
        <v>57</v>
      </c>
    </row>
    <row r="2" spans="1:5" ht="20.399999999999999">
      <c r="A2" s="20" t="s">
        <v>58</v>
      </c>
      <c r="B2" s="22">
        <v>592.11</v>
      </c>
      <c r="C2" s="19"/>
      <c r="D2" s="20" t="s">
        <v>58</v>
      </c>
      <c r="E2" s="21">
        <f>_xlfn.XLOOKUP(D2,$A$2:$A$21,$B$2:$B$21,0,0)</f>
        <v>592.11</v>
      </c>
    </row>
    <row r="3" spans="1:5" ht="20.399999999999999">
      <c r="A3" s="23" t="s">
        <v>59</v>
      </c>
      <c r="B3" s="24">
        <v>88.04</v>
      </c>
      <c r="C3" s="19"/>
      <c r="D3" s="23" t="s">
        <v>60</v>
      </c>
      <c r="E3" s="21">
        <f t="shared" ref="E3:E8" si="0">_xlfn.XLOOKUP(D3,$A$2:$A$21,$B$2:$B$21,0,0)</f>
        <v>224.24</v>
      </c>
    </row>
    <row r="4" spans="1:5" ht="20.399999999999999">
      <c r="A4" s="20" t="s">
        <v>61</v>
      </c>
      <c r="B4" s="22">
        <v>248.45</v>
      </c>
      <c r="C4" s="19"/>
      <c r="D4" s="20" t="s">
        <v>58</v>
      </c>
      <c r="E4" s="21">
        <f t="shared" si="0"/>
        <v>592.11</v>
      </c>
    </row>
    <row r="5" spans="1:5" ht="20.399999999999999">
      <c r="A5" s="23" t="s">
        <v>60</v>
      </c>
      <c r="B5" s="24">
        <v>224.24</v>
      </c>
      <c r="C5" s="19"/>
      <c r="D5" s="23" t="s">
        <v>62</v>
      </c>
      <c r="E5" s="21">
        <f t="shared" si="0"/>
        <v>110.6</v>
      </c>
    </row>
    <row r="6" spans="1:5" ht="20.399999999999999">
      <c r="A6" s="20" t="s">
        <v>63</v>
      </c>
      <c r="B6" s="22">
        <v>290.83</v>
      </c>
      <c r="C6" s="19"/>
      <c r="D6" s="20" t="s">
        <v>64</v>
      </c>
      <c r="E6" s="21">
        <f t="shared" si="0"/>
        <v>349.58</v>
      </c>
    </row>
    <row r="7" spans="1:5" ht="20.399999999999999">
      <c r="A7" s="23" t="s">
        <v>65</v>
      </c>
      <c r="B7" s="24">
        <v>63.12</v>
      </c>
      <c r="C7" s="19"/>
      <c r="D7" s="23" t="s">
        <v>66</v>
      </c>
      <c r="E7" s="21">
        <f t="shared" si="0"/>
        <v>278.64999999999998</v>
      </c>
    </row>
    <row r="8" spans="1:5" ht="20.399999999999999">
      <c r="A8" s="20" t="s">
        <v>67</v>
      </c>
      <c r="B8" s="22">
        <v>112.93</v>
      </c>
      <c r="C8" s="19"/>
      <c r="D8" s="20" t="s">
        <v>68</v>
      </c>
      <c r="E8" s="21">
        <f t="shared" si="0"/>
        <v>266.92</v>
      </c>
    </row>
    <row r="9" spans="1:5" ht="20.399999999999999">
      <c r="A9" s="23" t="s">
        <v>69</v>
      </c>
      <c r="B9" s="24">
        <v>55.16</v>
      </c>
      <c r="C9" s="19"/>
    </row>
    <row r="10" spans="1:5" ht="20.399999999999999">
      <c r="A10" s="20" t="s">
        <v>70</v>
      </c>
      <c r="B10" s="22">
        <v>183.1</v>
      </c>
      <c r="C10" s="19"/>
    </row>
    <row r="11" spans="1:5" ht="20.399999999999999">
      <c r="A11" s="23" t="s">
        <v>62</v>
      </c>
      <c r="B11" s="24">
        <v>110.6</v>
      </c>
      <c r="C11" s="19"/>
    </row>
    <row r="12" spans="1:5" ht="20.399999999999999">
      <c r="A12" s="20" t="s">
        <v>71</v>
      </c>
      <c r="B12" s="22">
        <v>218.79</v>
      </c>
      <c r="C12" s="19"/>
    </row>
    <row r="13" spans="1:5" ht="20.399999999999999">
      <c r="A13" s="23" t="s">
        <v>72</v>
      </c>
      <c r="B13" s="24">
        <v>211.77</v>
      </c>
      <c r="C13" s="19"/>
    </row>
    <row r="14" spans="1:5" ht="20.399999999999999">
      <c r="A14" s="20" t="s">
        <v>68</v>
      </c>
      <c r="B14" s="22">
        <v>266.92</v>
      </c>
      <c r="C14" s="19"/>
    </row>
    <row r="15" spans="1:5" ht="20.399999999999999">
      <c r="A15" s="23" t="s">
        <v>73</v>
      </c>
      <c r="B15" s="24">
        <v>653.99</v>
      </c>
      <c r="C15" s="19"/>
    </row>
    <row r="16" spans="1:5" ht="20.399999999999999">
      <c r="A16" s="20" t="s">
        <v>64</v>
      </c>
      <c r="B16" s="22">
        <v>349.58</v>
      </c>
      <c r="C16" s="19"/>
    </row>
    <row r="17" spans="1:3" ht="20.399999999999999">
      <c r="A17" s="23" t="s">
        <v>74</v>
      </c>
      <c r="B17" s="24">
        <v>867.45</v>
      </c>
      <c r="C17" s="19"/>
    </row>
    <row r="18" spans="1:3" ht="20.399999999999999">
      <c r="A18" s="20" t="s">
        <v>75</v>
      </c>
      <c r="B18" s="22">
        <v>781.73</v>
      </c>
      <c r="C18" s="19"/>
    </row>
    <row r="19" spans="1:3" ht="20.399999999999999">
      <c r="A19" s="23" t="s">
        <v>66</v>
      </c>
      <c r="B19" s="24">
        <v>278.64999999999998</v>
      </c>
      <c r="C19" s="19"/>
    </row>
    <row r="20" spans="1:3" ht="20.399999999999999">
      <c r="A20" s="20" t="s">
        <v>76</v>
      </c>
      <c r="B20" s="22">
        <v>795.15</v>
      </c>
      <c r="C20" s="19"/>
    </row>
    <row r="21" spans="1:3" ht="20.399999999999999">
      <c r="A21" s="25" t="s">
        <v>77</v>
      </c>
      <c r="B21" s="26">
        <v>738.71</v>
      </c>
      <c r="C21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3"/>
    </sheetView>
  </sheetViews>
  <sheetFormatPr defaultRowHeight="13.8"/>
  <cols>
    <col min="1" max="1" width="8.59765625" bestFit="1" customWidth="1"/>
    <col min="2" max="2" width="16.3984375" bestFit="1" customWidth="1"/>
    <col min="3" max="3" width="16.59765625" bestFit="1" customWidth="1"/>
    <col min="4" max="4" width="21.09765625" bestFit="1" customWidth="1"/>
    <col min="5" max="5" width="19.09765625" bestFit="1" customWidth="1"/>
    <col min="6" max="6" width="19.8984375" bestFit="1" customWidth="1"/>
    <col min="7" max="7" width="17.8984375" bestFit="1" customWidth="1"/>
  </cols>
  <sheetData>
    <row r="1" spans="1:7" ht="17.399999999999999">
      <c r="A1" s="27" t="s">
        <v>22</v>
      </c>
      <c r="B1" s="28" t="s">
        <v>58</v>
      </c>
      <c r="C1" s="28" t="s">
        <v>60</v>
      </c>
      <c r="D1" s="28" t="s">
        <v>62</v>
      </c>
      <c r="E1" s="28" t="s">
        <v>64</v>
      </c>
      <c r="F1" s="28" t="s">
        <v>66</v>
      </c>
      <c r="G1" s="28" t="s">
        <v>68</v>
      </c>
    </row>
    <row r="2" spans="1:7" ht="17.399999999999999">
      <c r="A2" s="29" t="s">
        <v>29</v>
      </c>
      <c r="B2" s="31">
        <v>642.59</v>
      </c>
      <c r="C2" s="31">
        <v>6.57</v>
      </c>
      <c r="D2" s="31">
        <v>723.85</v>
      </c>
      <c r="E2" s="31">
        <v>827.42</v>
      </c>
      <c r="F2" s="31">
        <v>248.32</v>
      </c>
      <c r="G2" s="31">
        <v>361.44</v>
      </c>
    </row>
    <row r="3" spans="1:7" ht="17.399999999999999">
      <c r="A3" s="32" t="s">
        <v>27</v>
      </c>
      <c r="B3" s="33">
        <v>872.01</v>
      </c>
      <c r="C3" s="33">
        <v>343.36</v>
      </c>
      <c r="D3" s="33">
        <v>40.020000000000003</v>
      </c>
      <c r="E3" s="33">
        <v>378.93</v>
      </c>
      <c r="F3" s="33">
        <v>368.24</v>
      </c>
      <c r="G3" s="33">
        <v>277.22000000000003</v>
      </c>
    </row>
    <row r="4" spans="1:7" ht="17.399999999999999">
      <c r="A4" s="29" t="s">
        <v>25</v>
      </c>
      <c r="B4" s="31">
        <v>61.48</v>
      </c>
      <c r="C4" s="31">
        <v>6.67</v>
      </c>
      <c r="D4" s="31">
        <v>706.96</v>
      </c>
      <c r="E4" s="31">
        <v>647.37</v>
      </c>
      <c r="F4" s="31">
        <v>288.88</v>
      </c>
      <c r="G4" s="31">
        <v>335.65</v>
      </c>
    </row>
    <row r="5" spans="1:7" ht="17.399999999999999">
      <c r="A5" s="32" t="s">
        <v>78</v>
      </c>
      <c r="B5" s="33">
        <v>242.81</v>
      </c>
      <c r="C5" s="33">
        <v>563.9</v>
      </c>
      <c r="D5" s="33">
        <v>670.21</v>
      </c>
      <c r="E5" s="33">
        <v>749.81</v>
      </c>
      <c r="F5" s="33">
        <v>582.03</v>
      </c>
      <c r="G5" s="33">
        <v>753.41</v>
      </c>
    </row>
    <row r="6" spans="1:7" ht="17.399999999999999">
      <c r="A6" s="29" t="s">
        <v>79</v>
      </c>
      <c r="B6" s="31">
        <v>672.26</v>
      </c>
      <c r="C6" s="31">
        <v>905.35</v>
      </c>
      <c r="D6" s="31">
        <v>945.91</v>
      </c>
      <c r="E6" s="31">
        <v>849.36</v>
      </c>
      <c r="F6" s="31">
        <v>517.78</v>
      </c>
      <c r="G6" s="31">
        <v>169.88</v>
      </c>
    </row>
    <row r="7" spans="1:7" ht="17.399999999999999">
      <c r="A7" s="32" t="s">
        <v>80</v>
      </c>
      <c r="B7" s="33">
        <v>757.34</v>
      </c>
      <c r="C7" s="33">
        <v>652.96</v>
      </c>
      <c r="D7" s="33">
        <v>392.77</v>
      </c>
      <c r="E7" s="33">
        <v>242.38</v>
      </c>
      <c r="F7" s="33">
        <v>93.07</v>
      </c>
      <c r="G7" s="33">
        <v>342.39</v>
      </c>
    </row>
    <row r="8" spans="1:7" ht="17.399999999999999">
      <c r="A8" s="29" t="s">
        <v>81</v>
      </c>
      <c r="B8" s="31">
        <v>19.27</v>
      </c>
      <c r="C8" s="31">
        <v>933.84</v>
      </c>
      <c r="D8" s="31">
        <v>544.6</v>
      </c>
      <c r="E8" s="31">
        <v>442.48</v>
      </c>
      <c r="F8" s="31">
        <v>385.44</v>
      </c>
      <c r="G8" s="31">
        <v>590.99</v>
      </c>
    </row>
    <row r="9" spans="1:7" ht="17.399999999999999">
      <c r="A9" s="32" t="s">
        <v>82</v>
      </c>
      <c r="B9" s="33">
        <v>872.25</v>
      </c>
      <c r="C9" s="33">
        <v>213.41</v>
      </c>
      <c r="D9" s="33">
        <v>943.85</v>
      </c>
      <c r="E9" s="33">
        <v>204.89</v>
      </c>
      <c r="F9" s="33">
        <v>425.96</v>
      </c>
      <c r="G9" s="33">
        <v>182.43</v>
      </c>
    </row>
    <row r="10" spans="1:7" ht="17.399999999999999">
      <c r="A10" s="29" t="s">
        <v>83</v>
      </c>
      <c r="B10" s="31">
        <v>258.31</v>
      </c>
      <c r="C10" s="31">
        <v>926.77</v>
      </c>
      <c r="D10" s="31">
        <v>893.67</v>
      </c>
      <c r="E10" s="31">
        <v>904.34</v>
      </c>
      <c r="F10" s="31">
        <v>958.47</v>
      </c>
      <c r="G10" s="31">
        <v>309.66000000000003</v>
      </c>
    </row>
    <row r="11" spans="1:7" ht="17.399999999999999">
      <c r="A11" s="32" t="s">
        <v>84</v>
      </c>
      <c r="B11" s="33">
        <v>592.42999999999995</v>
      </c>
      <c r="C11" s="33">
        <v>39.71</v>
      </c>
      <c r="D11" s="33">
        <v>870.56</v>
      </c>
      <c r="E11" s="33">
        <v>542.99</v>
      </c>
      <c r="F11" s="33">
        <v>103.05</v>
      </c>
      <c r="G11" s="33">
        <v>668.87</v>
      </c>
    </row>
    <row r="12" spans="1:7" ht="17.399999999999999">
      <c r="A12" s="29" t="s">
        <v>85</v>
      </c>
      <c r="B12" s="31">
        <v>883.66</v>
      </c>
      <c r="C12" s="31">
        <v>692.5</v>
      </c>
      <c r="D12" s="31">
        <v>337.3</v>
      </c>
      <c r="E12" s="31">
        <v>174.05</v>
      </c>
      <c r="F12" s="31">
        <v>573.37</v>
      </c>
      <c r="G12" s="31">
        <v>444.99</v>
      </c>
    </row>
    <row r="13" spans="1:7" ht="17.399999999999999">
      <c r="A13" s="32" t="s">
        <v>86</v>
      </c>
      <c r="B13" s="33">
        <v>147.08000000000001</v>
      </c>
      <c r="C13" s="33">
        <v>748.82</v>
      </c>
      <c r="D13" s="33">
        <v>468.38</v>
      </c>
      <c r="E13" s="33">
        <v>125.48</v>
      </c>
      <c r="F13" s="33">
        <v>294.66000000000003</v>
      </c>
      <c r="G13" s="33">
        <v>352.21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6" sqref="D6"/>
    </sheetView>
  </sheetViews>
  <sheetFormatPr defaultRowHeight="13.8"/>
  <cols>
    <col min="2" max="2" width="16.3984375" bestFit="1" customWidth="1"/>
    <col min="3" max="3" width="16.59765625" bestFit="1" customWidth="1"/>
    <col min="4" max="4" width="21.09765625" bestFit="1" customWidth="1"/>
    <col min="5" max="5" width="19.09765625" bestFit="1" customWidth="1"/>
    <col min="6" max="6" width="19.8984375" bestFit="1" customWidth="1"/>
    <col min="7" max="7" width="17.8984375" bestFit="1" customWidth="1"/>
  </cols>
  <sheetData>
    <row r="1" spans="1:7" ht="17.399999999999999">
      <c r="A1" s="27" t="s">
        <v>22</v>
      </c>
      <c r="B1" s="28" t="s">
        <v>58</v>
      </c>
      <c r="C1" s="28" t="s">
        <v>60</v>
      </c>
      <c r="D1" s="28" t="s">
        <v>62</v>
      </c>
      <c r="E1" s="28" t="s">
        <v>64</v>
      </c>
      <c r="F1" s="28" t="s">
        <v>66</v>
      </c>
      <c r="G1" s="28" t="s">
        <v>68</v>
      </c>
    </row>
    <row r="2" spans="1:7" ht="17.399999999999999">
      <c r="A2" s="29" t="s">
        <v>79</v>
      </c>
      <c r="B2" s="30">
        <f>_xlfn.XLOOKUP('may order'!B1,'order history'!$B$1:$G$1,'order history'!$B$6:$G$6)</f>
        <v>672.26</v>
      </c>
      <c r="C2" s="30">
        <f>_xlfn.XLOOKUP('may order'!C1,'order history'!$B$1:$G$1,'order history'!$B$6:$G$6)</f>
        <v>905.35</v>
      </c>
      <c r="D2" s="30">
        <f>_xlfn.XLOOKUP('may order'!D1,'order history'!$B$1:$G$1,'order history'!$B$6:$G$6)</f>
        <v>945.91</v>
      </c>
      <c r="E2" s="30">
        <f>_xlfn.XLOOKUP('may order'!E1,'order history'!$B$1:$G$1,'order history'!$B$6:$G$6)</f>
        <v>849.36</v>
      </c>
      <c r="F2" s="30">
        <f>_xlfn.XLOOKUP('may order'!F1,'order history'!$B$1:$G$1,'order history'!$B$6:$G$6)</f>
        <v>517.78</v>
      </c>
      <c r="G2" s="30">
        <f>_xlfn.XLOOKUP('may order'!G1,'order history'!$B$1:$G$1,'order history'!$B$6:$G$6)</f>
        <v>169.88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Sheet1</vt:lpstr>
      <vt:lpstr>Sheet2</vt:lpstr>
      <vt:lpstr>Sales Data Analysis</vt:lpstr>
      <vt:lpstr>Sheet3</vt:lpstr>
      <vt:lpstr>xlookup</vt:lpstr>
      <vt:lpstr>order history</vt:lpstr>
      <vt:lpstr>may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2026-06-28T15:25:32Z</dcterms:modified>
  <cp:category/>
  <cp:contentStatus/>
</cp:coreProperties>
</file>