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9192" firstSheet="1" activeTab="1"/>
  </bookViews>
  <sheets>
    <sheet name="Detail2" sheetId="11" state="hidden" r:id="rId1"/>
    <sheet name="Sales Data Analysis" sheetId="3" r:id="rId2"/>
    <sheet name="Detail1" sheetId="10" state="hidden" r:id="rId3"/>
  </sheet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K2" i="3"/>
  <c r="K3" i="3"/>
  <c r="K4" i="3"/>
  <c r="B9" i="3"/>
  <c r="B11" i="3"/>
  <c r="H3" i="3"/>
  <c r="H4" i="3"/>
  <c r="E6" i="3"/>
  <c r="E2" i="3"/>
  <c r="E4" i="3"/>
  <c r="E3" i="3"/>
  <c r="E5" i="3"/>
</calcChain>
</file>

<file path=xl/sharedStrings.xml><?xml version="1.0" encoding="utf-8"?>
<sst xmlns="http://schemas.openxmlformats.org/spreadsheetml/2006/main" count="372" uniqueCount="46">
  <si>
    <t>Details for Sum of Sales - Name: Anna, Department: HR</t>
  </si>
  <si>
    <t>Name</t>
  </si>
  <si>
    <t>Department</t>
  </si>
  <si>
    <t>Sales</t>
  </si>
  <si>
    <t>Month</t>
  </si>
  <si>
    <t>Performance</t>
  </si>
  <si>
    <t>Anna</t>
  </si>
  <si>
    <t>HR</t>
  </si>
  <si>
    <t>Jan</t>
  </si>
  <si>
    <t>Low</t>
  </si>
  <si>
    <t>David</t>
  </si>
  <si>
    <t>Mar</t>
  </si>
  <si>
    <t>Mark</t>
  </si>
  <si>
    <t>Feb</t>
  </si>
  <si>
    <t>John</t>
  </si>
  <si>
    <t>Sara</t>
  </si>
  <si>
    <t>IT</t>
  </si>
  <si>
    <t>Metric</t>
  </si>
  <si>
    <t>Value</t>
  </si>
  <si>
    <t>Total Sales:</t>
  </si>
  <si>
    <t>Total Sales</t>
  </si>
  <si>
    <t>Average Sales:</t>
  </si>
  <si>
    <t>HR Total</t>
  </si>
  <si>
    <t>Grand Total</t>
  </si>
  <si>
    <t>IT Total</t>
  </si>
  <si>
    <t>Sales Total</t>
  </si>
  <si>
    <t>Details for % of total revenue</t>
  </si>
  <si>
    <t>Date</t>
  </si>
  <si>
    <t>Salesperson</t>
  </si>
  <si>
    <t>Region</t>
  </si>
  <si>
    <t>Product</t>
  </si>
  <si>
    <t>Sales Amount</t>
  </si>
  <si>
    <t>Quantity Sold</t>
  </si>
  <si>
    <t>Alice</t>
  </si>
  <si>
    <t>San Francisco</t>
  </si>
  <si>
    <t>Sugar Cookies</t>
  </si>
  <si>
    <t>Peanut Butter Cookies</t>
  </si>
  <si>
    <t>Portland</t>
  </si>
  <si>
    <t>Los Angeles</t>
  </si>
  <si>
    <t>Chocolate Chip Cookies</t>
  </si>
  <si>
    <t>Seattle</t>
  </si>
  <si>
    <t>Oatmeal Raisin Cookies</t>
  </si>
  <si>
    <t>Bob</t>
  </si>
  <si>
    <t>Charlie</t>
  </si>
  <si>
    <t>Diana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</si>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</sst>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(* #,##0_);_(* \(#,##0\);_(* &quot;-&quot;??_);_(@_)"/>
    <numFmt numFmtId="169" formatCode="_([$$-409]* #,##0_);_([$$-409]* \(#,##0\);_([$$-409]* &quot;-&quot;??_);_(@_)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0" fillId="0" borderId="0" xfId="0" pivotButton="1"/>
    <xf numFmtId="0" fontId="1" fillId="0" borderId="0" xfId="0" applyFont="1"/>
  </cellXfs>
  <cellStyles count="1">
    <cellStyle name="Обычный" xfId="0" builtinId="0"/>
  </cellStyles>
  <dxfs count="13">
    <dxf>
      <numFmt numFmtId="171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71" formatCode="m/d/yyyy"/>
    </dxf>
    <dxf>
      <numFmt numFmtId="171" formatCode="m/d/yyyy"/>
    </dxf>
    <dxf>
      <numFmt numFmtId="168" formatCode="_(* #,##0_);_(* \(#,##0\);_(* &quot;-&quot;??_);_(@_)"/>
    </dxf>
    <dxf>
      <numFmt numFmtId="169" formatCode="_([$$-409]* #,##0_);_([$$-409]* \(#,##0\);_([$$-409]* &quot;-&quot;??_);_(@_)"/>
    </dxf>
    <dxf>
      <numFmt numFmtId="30" formatCode="@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1.791993402781" createdVersion="8" refreshedVersion="8" minRefreshableVersion="3" recordCount="5">
  <cacheSource type="worksheet">
    <worksheetSource ref="A1:E6" sheet="Sales Data Analysis"/>
  </cacheSource>
  <cacheFields count="5">
    <cacheField name="Name" numFmtId="0">
      <sharedItems count="5">
        <s v="David"/>
        <s v="Mark"/>
        <s v="John"/>
        <s v="Sara"/>
        <s v="Anna"/>
      </sharedItems>
    </cacheField>
    <cacheField name="Department" numFmtId="49">
      <sharedItems count="3">
        <s v="Sales"/>
        <s v="IT"/>
        <s v="HR"/>
      </sharedItems>
    </cacheField>
    <cacheField name="Sales" numFmtId="169">
      <sharedItems containsSemiMixedTypes="0" containsString="0" containsNumber="1" containsInteger="1" minValue="800" maxValue="2000" count="5">
        <n v="2000"/>
        <n v="1500"/>
        <n v="1200"/>
        <n v="900"/>
        <n v="800"/>
      </sharedItems>
    </cacheField>
    <cacheField name="Month" numFmtId="14">
      <sharedItems/>
    </cacheField>
    <cacheField name="Performance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s v="Mar"/>
    <s v="Good"/>
  </r>
  <r>
    <x v="1"/>
    <x v="0"/>
    <x v="1"/>
    <s v="Feb"/>
    <s v="Good"/>
  </r>
  <r>
    <x v="2"/>
    <x v="0"/>
    <x v="2"/>
    <s v="Jan"/>
    <s v="Good"/>
  </r>
  <r>
    <x v="3"/>
    <x v="1"/>
    <x v="3"/>
    <s v="Feb"/>
    <s v="Low"/>
  </r>
  <r>
    <x v="4"/>
    <x v="2"/>
    <x v="4"/>
    <s v="Jan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9:N18" firstHeaderRow="1" firstDataRow="1" firstDataCol="2"/>
  <pivotFields count="5">
    <pivotField axis="axisRow" compact="0" outline="0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numFmtId="169" outline="0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</pivotFields>
  <rowFields count="2">
    <field x="1"/>
    <field x="0"/>
  </rowFields>
  <rowItems count="9">
    <i>
      <x/>
      <x/>
    </i>
    <i t="default">
      <x/>
    </i>
    <i>
      <x v="1"/>
      <x v="4"/>
    </i>
    <i t="default">
      <x v="1"/>
    </i>
    <i>
      <x v="2"/>
      <x v="1"/>
    </i>
    <i r="1">
      <x v="3"/>
    </i>
    <i r="1">
      <x v="2"/>
    </i>
    <i t="default">
      <x v="2"/>
    </i>
    <i t="grand">
      <x/>
    </i>
  </rowItems>
  <colItems count="1">
    <i/>
  </colItems>
  <dataFields count="1">
    <dataField name="Total Sales" fld="2" baseField="0" baseItem="0" numFmtId="169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9:J13" firstHeaderRow="1" firstDataRow="1" firstDataCol="1"/>
  <pivotFields count="5">
    <pivotField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numFmtId="169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2" baseField="0" baseItem="0" numFmtId="169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9" name="Table9" displayName="Table9" ref="A3:E4" totalsRowShown="0">
  <autoFilter ref="A3:E4"/>
  <tableColumns count="5">
    <tableColumn id="1" name="Name"/>
    <tableColumn id="2" name="Department"/>
    <tableColumn id="3" name="Sales"/>
    <tableColumn id="4" name="Month"/>
    <tableColumn id="5" name="Perform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6" totalsRowShown="0" headerRowDxfId="12">
  <autoFilter ref="A1:E6"/>
  <sortState ref="A2:E6">
    <sortCondition descending="1" ref="C1:C6"/>
  </sortState>
  <tableColumns count="5">
    <tableColumn id="1" name="Name"/>
    <tableColumn id="2" name="Department" dataDxfId="11"/>
    <tableColumn id="3" name="Sales" dataDxfId="10" totalsRowDxfId="9"/>
    <tableColumn id="4" name="Month" dataDxfId="8"/>
    <tableColumn id="5" name="Performance" dataDxfId="7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8:B11" totalsRowShown="0" headerRowDxfId="6">
  <autoFilter ref="A8:B11"/>
  <tableColumns count="2">
    <tableColumn id="1" name="Metric" dataDxfId="5"/>
    <tableColumn id="2" name="Value" dataDxfId="4">
      <calculatedColumnFormula>AVERAGE(C2:C4)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G1:H4" totalsRowShown="0">
  <autoFilter ref="G1:H4"/>
  <tableColumns count="2">
    <tableColumn id="1" name="Name"/>
    <tableColumn id="2" name="Department" dataDxfId="3">
      <calculatedColumnFormula>IFERROR(VLOOKUP(G2,Table3[#All],2,FALSE), 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7" displayName="Table7" ref="J1:K4" totalsRowShown="0">
  <autoFilter ref="J1:K4"/>
  <tableColumns count="2">
    <tableColumn id="1" name="Name" dataDxfId="2">
      <calculatedColumnFormula>_xlfn.XLOOKUP(K2,Table3[Month],Table3[Name],FALSE)</calculatedColumnFormula>
    </tableColumn>
    <tableColumn id="4" name="Department" dataDxfId="1">
      <calculatedColumnFormula>_xlfn.XLOOKUP(J2,Table3[Name],Table3[Department],"Not Found")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3:F103" totalsRowShown="0">
  <autoFilter ref="A3:F103"/>
  <tableColumns count="6">
    <tableColumn id="1" name="Date" dataDxfId="0"/>
    <tableColumn id="2" name="Salesperson"/>
    <tableColumn id="3" name="Region"/>
    <tableColumn id="4" name="Product"/>
    <tableColumn id="5" name="Sales Amount"/>
    <tableColumn id="6" name="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3.8" x14ac:dyDescent="0.25"/>
  <cols>
    <col min="2" max="2" width="14.296875" bestFit="1" customWidth="1"/>
    <col min="4" max="4" width="9.3984375" bestFit="1" customWidth="1"/>
    <col min="5" max="5" width="14.8984375" bestFit="1" customWidth="1"/>
  </cols>
  <sheetData>
    <row r="1" spans="1:5" x14ac:dyDescent="0.25">
      <c r="A1" s="8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800</v>
      </c>
      <c r="D4" t="s">
        <v>8</v>
      </c>
      <c r="E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topLeftCell="E1" workbookViewId="0">
      <selection activeCell="N10" sqref="N10"/>
    </sheetView>
  </sheetViews>
  <sheetFormatPr defaultRowHeight="13.8" x14ac:dyDescent="0.25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  <col min="8" max="8" width="14.296875" bestFit="1" customWidth="1"/>
    <col min="9" max="9" width="15.09765625" bestFit="1" customWidth="1"/>
    <col min="10" max="10" width="12.3984375" bestFit="1" customWidth="1"/>
    <col min="11" max="11" width="8.09765625" bestFit="1" customWidth="1"/>
    <col min="12" max="12" width="15.09765625" bestFit="1" customWidth="1"/>
    <col min="13" max="13" width="9.59765625" bestFit="1" customWidth="1"/>
    <col min="14" max="14" width="10.69921875" bestFit="1" customWidth="1"/>
    <col min="15" max="15" width="11.69921875" bestFit="1" customWidth="1"/>
  </cols>
  <sheetData>
    <row r="1" spans="1:14" x14ac:dyDescent="0.25">
      <c r="A1" s="2" t="s">
        <v>1</v>
      </c>
      <c r="B1" s="2" t="s">
        <v>2</v>
      </c>
      <c r="C1" s="3" t="s">
        <v>3</v>
      </c>
      <c r="D1" s="1" t="s">
        <v>4</v>
      </c>
      <c r="E1" s="1" t="s">
        <v>5</v>
      </c>
      <c r="G1" t="s">
        <v>1</v>
      </c>
      <c r="H1" t="s">
        <v>2</v>
      </c>
      <c r="J1" t="s">
        <v>1</v>
      </c>
      <c r="K1" t="s">
        <v>2</v>
      </c>
    </row>
    <row r="2" spans="1:14" x14ac:dyDescent="0.25">
      <c r="A2" t="s">
        <v>10</v>
      </c>
      <c r="B2" s="2" t="s">
        <v>3</v>
      </c>
      <c r="C2" s="4">
        <v>2000</v>
      </c>
      <c r="D2" s="1" t="s">
        <v>11</v>
      </c>
      <c r="E2" s="1" t="str">
        <f>IF(C2&gt;1000, "Good", "Low")</f>
        <v>Good</v>
      </c>
      <c r="G2" t="s">
        <v>10</v>
      </c>
      <c r="H2" t="str">
        <f>IFERROR(VLOOKUP(G2,Table3[#All],2,FALSE), "Not found")</f>
        <v>Sales</v>
      </c>
      <c r="J2" t="s">
        <v>10</v>
      </c>
      <c r="K2" t="str">
        <f>_xlfn.XLOOKUP(J2,Table3[Name],Table3[Department],"Not Found")</f>
        <v>Sales</v>
      </c>
    </row>
    <row r="3" spans="1:14" x14ac:dyDescent="0.25">
      <c r="A3" t="s">
        <v>12</v>
      </c>
      <c r="B3" s="2" t="s">
        <v>3</v>
      </c>
      <c r="C3" s="4">
        <v>1500</v>
      </c>
      <c r="D3" s="1" t="s">
        <v>13</v>
      </c>
      <c r="E3" s="1" t="str">
        <f>IF(C3&gt;1000, "Good", "Low")</f>
        <v>Good</v>
      </c>
      <c r="G3" t="s">
        <v>14</v>
      </c>
      <c r="H3" t="str">
        <f>IFERROR(VLOOKUP(G3,Table3[#All],2,FALSE), "Not found")</f>
        <v>Sales</v>
      </c>
      <c r="J3" t="s">
        <v>14</v>
      </c>
      <c r="K3" t="str">
        <f>_xlfn.XLOOKUP(J3,Table3[Name],Table3[Department],"Not Found")</f>
        <v>Sales</v>
      </c>
    </row>
    <row r="4" spans="1:14" x14ac:dyDescent="0.25">
      <c r="A4" t="s">
        <v>14</v>
      </c>
      <c r="B4" s="2" t="s">
        <v>3</v>
      </c>
      <c r="C4" s="4">
        <v>1200</v>
      </c>
      <c r="D4" s="1" t="s">
        <v>8</v>
      </c>
      <c r="E4" s="1" t="str">
        <f>IF(C4&gt;1000, "Good", "Low")</f>
        <v>Good</v>
      </c>
      <c r="G4" t="s">
        <v>15</v>
      </c>
      <c r="H4" t="str">
        <f>IFERROR(VLOOKUP(G4,Table3[#All],2,FALSE), "Not found")</f>
        <v>IT</v>
      </c>
      <c r="J4" t="s">
        <v>15</v>
      </c>
      <c r="K4" t="str">
        <f>_xlfn.XLOOKUP(J4,Table3[Name],Table3[Department],"Not Found")</f>
        <v>IT</v>
      </c>
    </row>
    <row r="5" spans="1:14" x14ac:dyDescent="0.25">
      <c r="A5" t="s">
        <v>15</v>
      </c>
      <c r="B5" s="2" t="s">
        <v>16</v>
      </c>
      <c r="C5" s="4">
        <v>900</v>
      </c>
      <c r="D5" s="1" t="s">
        <v>13</v>
      </c>
      <c r="E5" s="1" t="str">
        <f>IF(C5&gt;1000, "Good", "Low")</f>
        <v>Low</v>
      </c>
    </row>
    <row r="6" spans="1:14" x14ac:dyDescent="0.25">
      <c r="A6" t="s">
        <v>6</v>
      </c>
      <c r="B6" s="2" t="s">
        <v>7</v>
      </c>
      <c r="C6" s="4">
        <v>800</v>
      </c>
      <c r="D6" s="1" t="s">
        <v>8</v>
      </c>
      <c r="E6" s="1" t="str">
        <f>IF(C6&gt;1000, "Good", "Low")</f>
        <v>Low</v>
      </c>
    </row>
    <row r="8" spans="1:14" x14ac:dyDescent="0.25">
      <c r="A8" t="s">
        <v>17</v>
      </c>
      <c r="B8" s="4" t="s">
        <v>18</v>
      </c>
    </row>
    <row r="9" spans="1:14" x14ac:dyDescent="0.25">
      <c r="A9" s="5" t="s">
        <v>19</v>
      </c>
      <c r="B9" s="6">
        <f>SUBTOTAL(9, (C2:C6))</f>
        <v>6400</v>
      </c>
      <c r="I9" s="7" t="s">
        <v>2</v>
      </c>
      <c r="J9" t="s">
        <v>20</v>
      </c>
      <c r="L9" s="7" t="s">
        <v>2</v>
      </c>
      <c r="M9" s="7" t="s">
        <v>1</v>
      </c>
      <c r="N9" t="s">
        <v>20</v>
      </c>
    </row>
    <row r="10" spans="1:14" x14ac:dyDescent="0.25">
      <c r="A10" s="5"/>
      <c r="B10" s="6"/>
      <c r="I10" t="s">
        <v>7</v>
      </c>
      <c r="J10" s="4">
        <v>800</v>
      </c>
      <c r="L10" t="s">
        <v>7</v>
      </c>
      <c r="M10" t="s">
        <v>6</v>
      </c>
      <c r="N10" s="4">
        <v>800</v>
      </c>
    </row>
    <row r="11" spans="1:14" x14ac:dyDescent="0.25">
      <c r="A11" s="5" t="s">
        <v>21</v>
      </c>
      <c r="B11" s="6">
        <f>SUBTOTAL(1, (C2:C6))</f>
        <v>1280</v>
      </c>
      <c r="I11" t="s">
        <v>16</v>
      </c>
      <c r="J11" s="4">
        <v>900</v>
      </c>
      <c r="L11" t="s">
        <v>22</v>
      </c>
      <c r="N11" s="4">
        <v>800</v>
      </c>
    </row>
    <row r="12" spans="1:14" x14ac:dyDescent="0.25">
      <c r="I12" t="s">
        <v>3</v>
      </c>
      <c r="J12" s="4">
        <v>4700</v>
      </c>
      <c r="L12" t="s">
        <v>16</v>
      </c>
      <c r="M12" t="s">
        <v>15</v>
      </c>
      <c r="N12" s="4">
        <v>900</v>
      </c>
    </row>
    <row r="13" spans="1:14" x14ac:dyDescent="0.25">
      <c r="I13" t="s">
        <v>23</v>
      </c>
      <c r="J13" s="4">
        <v>6400</v>
      </c>
      <c r="L13" t="s">
        <v>24</v>
      </c>
      <c r="N13" s="4">
        <v>900</v>
      </c>
    </row>
    <row r="14" spans="1:14" x14ac:dyDescent="0.25">
      <c r="L14" t="s">
        <v>3</v>
      </c>
      <c r="M14" t="s">
        <v>10</v>
      </c>
      <c r="N14" s="4">
        <v>2000</v>
      </c>
    </row>
    <row r="15" spans="1:14" x14ac:dyDescent="0.25">
      <c r="M15" t="s">
        <v>12</v>
      </c>
      <c r="N15" s="4">
        <v>1500</v>
      </c>
    </row>
    <row r="16" spans="1:14" x14ac:dyDescent="0.25">
      <c r="M16" t="s">
        <v>14</v>
      </c>
      <c r="N16" s="4">
        <v>1200</v>
      </c>
    </row>
    <row r="17" spans="12:14" x14ac:dyDescent="0.25">
      <c r="L17" t="s">
        <v>25</v>
      </c>
      <c r="N17" s="4">
        <v>4700</v>
      </c>
    </row>
    <row r="18" spans="12:14" x14ac:dyDescent="0.25">
      <c r="L18" t="s">
        <v>23</v>
      </c>
      <c r="N18" s="4">
        <v>6400</v>
      </c>
    </row>
  </sheetData>
  <pageMargins left="0.7" right="0.7" top="0.75" bottom="0.75" header="0.3" footer="0.3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/>
  </sheetViews>
  <sheetFormatPr defaultRowHeight="13.8" x14ac:dyDescent="0.25"/>
  <cols>
    <col min="1" max="1" width="10.3984375" bestFit="1" customWidth="1"/>
    <col min="2" max="2" width="14.09765625" bestFit="1" customWidth="1"/>
    <col min="3" max="3" width="12.8984375" bestFit="1" customWidth="1"/>
    <col min="4" max="4" width="22" bestFit="1" customWidth="1"/>
    <col min="5" max="5" width="15.8984375" bestFit="1" customWidth="1"/>
    <col min="6" max="6" width="15.69921875" bestFit="1" customWidth="1"/>
  </cols>
  <sheetData>
    <row r="1" spans="1:6" x14ac:dyDescent="0.25">
      <c r="A1" s="8" t="s">
        <v>26</v>
      </c>
    </row>
    <row r="3" spans="1: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</row>
    <row r="4" spans="1:6" x14ac:dyDescent="0.25">
      <c r="A4" s="1">
        <v>45293</v>
      </c>
      <c r="B4" t="s">
        <v>33</v>
      </c>
      <c r="C4" t="s">
        <v>34</v>
      </c>
      <c r="D4" t="s">
        <v>35</v>
      </c>
      <c r="E4">
        <v>501</v>
      </c>
      <c r="F4">
        <v>13</v>
      </c>
    </row>
    <row r="5" spans="1:6" x14ac:dyDescent="0.25">
      <c r="A5" s="1">
        <v>45296</v>
      </c>
      <c r="B5" t="s">
        <v>33</v>
      </c>
      <c r="C5" t="s">
        <v>34</v>
      </c>
      <c r="D5" t="s">
        <v>36</v>
      </c>
      <c r="E5">
        <v>261</v>
      </c>
      <c r="F5">
        <v>4</v>
      </c>
    </row>
    <row r="6" spans="1:6" x14ac:dyDescent="0.25">
      <c r="A6" s="1">
        <v>45300</v>
      </c>
      <c r="B6" t="s">
        <v>33</v>
      </c>
      <c r="C6" t="s">
        <v>37</v>
      </c>
      <c r="D6" t="s">
        <v>36</v>
      </c>
      <c r="E6">
        <v>915</v>
      </c>
      <c r="F6">
        <v>2</v>
      </c>
    </row>
    <row r="7" spans="1:6" x14ac:dyDescent="0.25">
      <c r="A7" s="1">
        <v>45302</v>
      </c>
      <c r="B7" t="s">
        <v>33</v>
      </c>
      <c r="C7" t="s">
        <v>37</v>
      </c>
      <c r="D7" t="s">
        <v>36</v>
      </c>
      <c r="E7">
        <v>555</v>
      </c>
      <c r="F7">
        <v>13</v>
      </c>
    </row>
    <row r="8" spans="1:6" x14ac:dyDescent="0.25">
      <c r="A8" s="1">
        <v>45309</v>
      </c>
      <c r="B8" t="s">
        <v>33</v>
      </c>
      <c r="C8" t="s">
        <v>37</v>
      </c>
      <c r="D8" t="s">
        <v>35</v>
      </c>
      <c r="E8">
        <v>819</v>
      </c>
      <c r="F8">
        <v>1</v>
      </c>
    </row>
    <row r="9" spans="1:6" x14ac:dyDescent="0.25">
      <c r="A9" s="1">
        <v>45311</v>
      </c>
      <c r="B9" t="s">
        <v>33</v>
      </c>
      <c r="C9" t="s">
        <v>37</v>
      </c>
      <c r="D9" t="s">
        <v>36</v>
      </c>
      <c r="E9">
        <v>437</v>
      </c>
      <c r="F9">
        <v>9</v>
      </c>
    </row>
    <row r="10" spans="1:6" x14ac:dyDescent="0.25">
      <c r="A10" s="1">
        <v>45313</v>
      </c>
      <c r="B10" t="s">
        <v>33</v>
      </c>
      <c r="C10" t="s">
        <v>38</v>
      </c>
      <c r="D10" t="s">
        <v>39</v>
      </c>
      <c r="E10">
        <v>152</v>
      </c>
      <c r="F10">
        <v>7</v>
      </c>
    </row>
    <row r="11" spans="1:6" x14ac:dyDescent="0.25">
      <c r="A11" s="1">
        <v>45317</v>
      </c>
      <c r="B11" t="s">
        <v>33</v>
      </c>
      <c r="C11" t="s">
        <v>40</v>
      </c>
      <c r="D11" t="s">
        <v>41</v>
      </c>
      <c r="E11">
        <v>287</v>
      </c>
      <c r="F11">
        <v>5</v>
      </c>
    </row>
    <row r="12" spans="1:6" x14ac:dyDescent="0.25">
      <c r="A12" s="1">
        <v>45318</v>
      </c>
      <c r="B12" t="s">
        <v>33</v>
      </c>
      <c r="C12" t="s">
        <v>38</v>
      </c>
      <c r="D12" t="s">
        <v>41</v>
      </c>
      <c r="E12">
        <v>479</v>
      </c>
      <c r="F12">
        <v>1</v>
      </c>
    </row>
    <row r="13" spans="1:6" x14ac:dyDescent="0.25">
      <c r="A13" s="1">
        <v>45328</v>
      </c>
      <c r="B13" t="s">
        <v>33</v>
      </c>
      <c r="C13" t="s">
        <v>37</v>
      </c>
      <c r="D13" t="s">
        <v>35</v>
      </c>
      <c r="E13">
        <v>443</v>
      </c>
      <c r="F13">
        <v>2</v>
      </c>
    </row>
    <row r="14" spans="1:6" x14ac:dyDescent="0.25">
      <c r="A14" s="1">
        <v>45330</v>
      </c>
      <c r="B14" t="s">
        <v>33</v>
      </c>
      <c r="C14" t="s">
        <v>34</v>
      </c>
      <c r="D14" t="s">
        <v>39</v>
      </c>
      <c r="E14">
        <v>747</v>
      </c>
      <c r="F14">
        <v>17</v>
      </c>
    </row>
    <row r="15" spans="1:6" x14ac:dyDescent="0.25">
      <c r="A15" s="1">
        <v>45337</v>
      </c>
      <c r="B15" t="s">
        <v>33</v>
      </c>
      <c r="C15" t="s">
        <v>38</v>
      </c>
      <c r="D15" t="s">
        <v>35</v>
      </c>
      <c r="E15">
        <v>774</v>
      </c>
      <c r="F15">
        <v>5</v>
      </c>
    </row>
    <row r="16" spans="1:6" x14ac:dyDescent="0.25">
      <c r="A16" s="1">
        <v>45338</v>
      </c>
      <c r="B16" t="s">
        <v>33</v>
      </c>
      <c r="C16" t="s">
        <v>37</v>
      </c>
      <c r="D16" t="s">
        <v>35</v>
      </c>
      <c r="E16">
        <v>518</v>
      </c>
      <c r="F16">
        <v>1</v>
      </c>
    </row>
    <row r="17" spans="1:6" x14ac:dyDescent="0.25">
      <c r="A17" s="1">
        <v>45345</v>
      </c>
      <c r="B17" t="s">
        <v>33</v>
      </c>
      <c r="C17" t="s">
        <v>38</v>
      </c>
      <c r="D17" t="s">
        <v>35</v>
      </c>
      <c r="E17">
        <v>127</v>
      </c>
      <c r="F17">
        <v>11</v>
      </c>
    </row>
    <row r="18" spans="1:6" x14ac:dyDescent="0.25">
      <c r="A18" s="1">
        <v>45348</v>
      </c>
      <c r="B18" t="s">
        <v>33</v>
      </c>
      <c r="C18" t="s">
        <v>37</v>
      </c>
      <c r="D18" t="s">
        <v>35</v>
      </c>
      <c r="E18">
        <v>939</v>
      </c>
      <c r="F18">
        <v>5</v>
      </c>
    </row>
    <row r="19" spans="1:6" x14ac:dyDescent="0.25">
      <c r="A19" s="1">
        <v>45352</v>
      </c>
      <c r="B19" t="s">
        <v>33</v>
      </c>
      <c r="C19" t="s">
        <v>37</v>
      </c>
      <c r="D19" t="s">
        <v>36</v>
      </c>
      <c r="E19">
        <v>602</v>
      </c>
      <c r="F19">
        <v>16</v>
      </c>
    </row>
    <row r="20" spans="1:6" x14ac:dyDescent="0.25">
      <c r="A20" s="1">
        <v>45356</v>
      </c>
      <c r="B20" t="s">
        <v>33</v>
      </c>
      <c r="C20" t="s">
        <v>38</v>
      </c>
      <c r="D20" t="s">
        <v>36</v>
      </c>
      <c r="E20">
        <v>904</v>
      </c>
      <c r="F20">
        <v>6</v>
      </c>
    </row>
    <row r="21" spans="1:6" x14ac:dyDescent="0.25">
      <c r="A21" s="1">
        <v>45359</v>
      </c>
      <c r="B21" t="s">
        <v>33</v>
      </c>
      <c r="C21" t="s">
        <v>37</v>
      </c>
      <c r="D21" t="s">
        <v>39</v>
      </c>
      <c r="E21">
        <v>971</v>
      </c>
      <c r="F21">
        <v>4</v>
      </c>
    </row>
    <row r="22" spans="1:6" x14ac:dyDescent="0.25">
      <c r="A22" s="1">
        <v>45369</v>
      </c>
      <c r="B22" t="s">
        <v>33</v>
      </c>
      <c r="C22" t="s">
        <v>38</v>
      </c>
      <c r="D22" t="s">
        <v>35</v>
      </c>
      <c r="E22">
        <v>602</v>
      </c>
      <c r="F22">
        <v>8</v>
      </c>
    </row>
    <row r="23" spans="1:6" x14ac:dyDescent="0.25">
      <c r="A23" s="1">
        <v>45370</v>
      </c>
      <c r="B23" t="s">
        <v>33</v>
      </c>
      <c r="C23" t="s">
        <v>40</v>
      </c>
      <c r="D23" t="s">
        <v>36</v>
      </c>
      <c r="E23">
        <v>866</v>
      </c>
      <c r="F23">
        <v>1</v>
      </c>
    </row>
    <row r="24" spans="1:6" x14ac:dyDescent="0.25">
      <c r="A24" s="1">
        <v>45371</v>
      </c>
      <c r="B24" t="s">
        <v>33</v>
      </c>
      <c r="C24" t="s">
        <v>40</v>
      </c>
      <c r="D24" t="s">
        <v>35</v>
      </c>
      <c r="E24">
        <v>497</v>
      </c>
      <c r="F24">
        <v>11</v>
      </c>
    </row>
    <row r="25" spans="1:6" x14ac:dyDescent="0.25">
      <c r="A25" s="1">
        <v>45378</v>
      </c>
      <c r="B25" t="s">
        <v>33</v>
      </c>
      <c r="C25" t="s">
        <v>40</v>
      </c>
      <c r="D25" t="s">
        <v>41</v>
      </c>
      <c r="E25">
        <v>653</v>
      </c>
      <c r="F25">
        <v>17</v>
      </c>
    </row>
    <row r="26" spans="1:6" x14ac:dyDescent="0.25">
      <c r="A26" s="1">
        <v>45382</v>
      </c>
      <c r="B26" t="s">
        <v>33</v>
      </c>
      <c r="C26" t="s">
        <v>34</v>
      </c>
      <c r="D26" t="s">
        <v>35</v>
      </c>
      <c r="E26">
        <v>674</v>
      </c>
      <c r="F26">
        <v>12</v>
      </c>
    </row>
    <row r="27" spans="1:6" x14ac:dyDescent="0.25">
      <c r="A27" s="1">
        <v>45386</v>
      </c>
      <c r="B27" t="s">
        <v>33</v>
      </c>
      <c r="C27" t="s">
        <v>34</v>
      </c>
      <c r="D27" t="s">
        <v>41</v>
      </c>
      <c r="E27">
        <v>663</v>
      </c>
      <c r="F27">
        <v>9</v>
      </c>
    </row>
    <row r="28" spans="1:6" x14ac:dyDescent="0.25">
      <c r="A28" s="1">
        <v>45304</v>
      </c>
      <c r="B28" t="s">
        <v>42</v>
      </c>
      <c r="C28" t="s">
        <v>37</v>
      </c>
      <c r="D28" t="s">
        <v>36</v>
      </c>
      <c r="E28">
        <v>826</v>
      </c>
      <c r="F28">
        <v>12</v>
      </c>
    </row>
    <row r="29" spans="1:6" x14ac:dyDescent="0.25">
      <c r="A29" s="1">
        <v>45305</v>
      </c>
      <c r="B29" t="s">
        <v>42</v>
      </c>
      <c r="C29" t="s">
        <v>37</v>
      </c>
      <c r="D29" t="s">
        <v>36</v>
      </c>
      <c r="E29">
        <v>351</v>
      </c>
      <c r="F29">
        <v>12</v>
      </c>
    </row>
    <row r="30" spans="1:6" x14ac:dyDescent="0.25">
      <c r="A30" s="1">
        <v>45306</v>
      </c>
      <c r="B30" t="s">
        <v>42</v>
      </c>
      <c r="C30" t="s">
        <v>40</v>
      </c>
      <c r="D30" t="s">
        <v>35</v>
      </c>
      <c r="E30">
        <v>801</v>
      </c>
      <c r="F30">
        <v>11</v>
      </c>
    </row>
    <row r="31" spans="1:6" x14ac:dyDescent="0.25">
      <c r="A31" s="1">
        <v>45326</v>
      </c>
      <c r="B31" t="s">
        <v>42</v>
      </c>
      <c r="C31" t="s">
        <v>38</v>
      </c>
      <c r="D31" t="s">
        <v>41</v>
      </c>
      <c r="E31">
        <v>938</v>
      </c>
      <c r="F31">
        <v>12</v>
      </c>
    </row>
    <row r="32" spans="1:6" x14ac:dyDescent="0.25">
      <c r="A32" s="1">
        <v>45358</v>
      </c>
      <c r="B32" t="s">
        <v>42</v>
      </c>
      <c r="C32" t="s">
        <v>40</v>
      </c>
      <c r="D32" t="s">
        <v>35</v>
      </c>
      <c r="E32">
        <v>783</v>
      </c>
      <c r="F32">
        <v>3</v>
      </c>
    </row>
    <row r="33" spans="1:6" x14ac:dyDescent="0.25">
      <c r="A33" s="1">
        <v>45360</v>
      </c>
      <c r="B33" t="s">
        <v>42</v>
      </c>
      <c r="C33" t="s">
        <v>37</v>
      </c>
      <c r="D33" t="s">
        <v>35</v>
      </c>
      <c r="E33">
        <v>825</v>
      </c>
      <c r="F33">
        <v>19</v>
      </c>
    </row>
    <row r="34" spans="1:6" x14ac:dyDescent="0.25">
      <c r="A34" s="1">
        <v>45361</v>
      </c>
      <c r="B34" t="s">
        <v>42</v>
      </c>
      <c r="C34" t="s">
        <v>40</v>
      </c>
      <c r="D34" t="s">
        <v>41</v>
      </c>
      <c r="E34">
        <v>646</v>
      </c>
      <c r="F34">
        <v>3</v>
      </c>
    </row>
    <row r="35" spans="1:6" x14ac:dyDescent="0.25">
      <c r="A35" s="1">
        <v>45363</v>
      </c>
      <c r="B35" t="s">
        <v>42</v>
      </c>
      <c r="C35" t="s">
        <v>37</v>
      </c>
      <c r="D35" t="s">
        <v>41</v>
      </c>
      <c r="E35">
        <v>712</v>
      </c>
      <c r="F35">
        <v>7</v>
      </c>
    </row>
    <row r="36" spans="1:6" x14ac:dyDescent="0.25">
      <c r="A36" s="1">
        <v>45364</v>
      </c>
      <c r="B36" t="s">
        <v>42</v>
      </c>
      <c r="C36" t="s">
        <v>38</v>
      </c>
      <c r="D36" t="s">
        <v>39</v>
      </c>
      <c r="E36">
        <v>561</v>
      </c>
      <c r="F36">
        <v>9</v>
      </c>
    </row>
    <row r="37" spans="1:6" x14ac:dyDescent="0.25">
      <c r="A37" s="1">
        <v>45366</v>
      </c>
      <c r="B37" t="s">
        <v>42</v>
      </c>
      <c r="C37" t="s">
        <v>37</v>
      </c>
      <c r="D37" t="s">
        <v>39</v>
      </c>
      <c r="E37">
        <v>868</v>
      </c>
      <c r="F37">
        <v>8</v>
      </c>
    </row>
    <row r="38" spans="1:6" x14ac:dyDescent="0.25">
      <c r="A38" s="1">
        <v>45367</v>
      </c>
      <c r="B38" t="s">
        <v>42</v>
      </c>
      <c r="C38" t="s">
        <v>38</v>
      </c>
      <c r="D38" t="s">
        <v>41</v>
      </c>
      <c r="E38">
        <v>104</v>
      </c>
      <c r="F38">
        <v>7</v>
      </c>
    </row>
    <row r="39" spans="1:6" x14ac:dyDescent="0.25">
      <c r="A39" s="1">
        <v>45368</v>
      </c>
      <c r="B39" t="s">
        <v>42</v>
      </c>
      <c r="C39" t="s">
        <v>40</v>
      </c>
      <c r="D39" t="s">
        <v>35</v>
      </c>
      <c r="E39">
        <v>317</v>
      </c>
      <c r="F39">
        <v>18</v>
      </c>
    </row>
    <row r="40" spans="1:6" x14ac:dyDescent="0.25">
      <c r="A40" s="1">
        <v>45374</v>
      </c>
      <c r="B40" t="s">
        <v>42</v>
      </c>
      <c r="C40" t="s">
        <v>40</v>
      </c>
      <c r="D40" t="s">
        <v>39</v>
      </c>
      <c r="E40">
        <v>492</v>
      </c>
      <c r="F40">
        <v>3</v>
      </c>
    </row>
    <row r="41" spans="1:6" x14ac:dyDescent="0.25">
      <c r="A41" s="1">
        <v>45375</v>
      </c>
      <c r="B41" t="s">
        <v>42</v>
      </c>
      <c r="C41" t="s">
        <v>34</v>
      </c>
      <c r="D41" t="s">
        <v>35</v>
      </c>
      <c r="E41">
        <v>306</v>
      </c>
      <c r="F41">
        <v>7</v>
      </c>
    </row>
    <row r="42" spans="1:6" x14ac:dyDescent="0.25">
      <c r="A42" s="1">
        <v>45377</v>
      </c>
      <c r="B42" t="s">
        <v>42</v>
      </c>
      <c r="C42" t="s">
        <v>34</v>
      </c>
      <c r="D42" t="s">
        <v>36</v>
      </c>
      <c r="E42">
        <v>957</v>
      </c>
      <c r="F42">
        <v>16</v>
      </c>
    </row>
    <row r="43" spans="1:6" x14ac:dyDescent="0.25">
      <c r="A43" s="1">
        <v>45381</v>
      </c>
      <c r="B43" t="s">
        <v>42</v>
      </c>
      <c r="C43" t="s">
        <v>34</v>
      </c>
      <c r="D43" t="s">
        <v>41</v>
      </c>
      <c r="E43">
        <v>790</v>
      </c>
      <c r="F43">
        <v>16</v>
      </c>
    </row>
    <row r="44" spans="1:6" x14ac:dyDescent="0.25">
      <c r="A44" s="1">
        <v>45390</v>
      </c>
      <c r="B44" t="s">
        <v>42</v>
      </c>
      <c r="C44" t="s">
        <v>40</v>
      </c>
      <c r="D44" t="s">
        <v>41</v>
      </c>
      <c r="E44">
        <v>584</v>
      </c>
      <c r="F44">
        <v>16</v>
      </c>
    </row>
    <row r="45" spans="1:6" x14ac:dyDescent="0.25">
      <c r="A45" s="1">
        <v>45391</v>
      </c>
      <c r="B45" t="s">
        <v>42</v>
      </c>
      <c r="C45" t="s">
        <v>37</v>
      </c>
      <c r="D45" t="s">
        <v>39</v>
      </c>
      <c r="E45">
        <v>506</v>
      </c>
      <c r="F45">
        <v>3</v>
      </c>
    </row>
    <row r="46" spans="1:6" x14ac:dyDescent="0.25">
      <c r="A46" s="1">
        <v>45295</v>
      </c>
      <c r="B46" t="s">
        <v>43</v>
      </c>
      <c r="C46" t="s">
        <v>37</v>
      </c>
      <c r="D46" t="s">
        <v>36</v>
      </c>
      <c r="E46">
        <v>655</v>
      </c>
      <c r="F46">
        <v>11</v>
      </c>
    </row>
    <row r="47" spans="1:6" x14ac:dyDescent="0.25">
      <c r="A47" s="1">
        <v>45299</v>
      </c>
      <c r="B47" t="s">
        <v>43</v>
      </c>
      <c r="C47" t="s">
        <v>34</v>
      </c>
      <c r="D47" t="s">
        <v>39</v>
      </c>
      <c r="E47">
        <v>962</v>
      </c>
      <c r="F47">
        <v>19</v>
      </c>
    </row>
    <row r="48" spans="1:6" x14ac:dyDescent="0.25">
      <c r="A48" s="1">
        <v>45301</v>
      </c>
      <c r="B48" t="s">
        <v>43</v>
      </c>
      <c r="C48" t="s">
        <v>40</v>
      </c>
      <c r="D48" t="s">
        <v>41</v>
      </c>
      <c r="E48">
        <v>370</v>
      </c>
      <c r="F48">
        <v>10</v>
      </c>
    </row>
    <row r="49" spans="1:6" x14ac:dyDescent="0.25">
      <c r="A49" s="1">
        <v>45307</v>
      </c>
      <c r="B49" t="s">
        <v>43</v>
      </c>
      <c r="C49" t="s">
        <v>38</v>
      </c>
      <c r="D49" t="s">
        <v>39</v>
      </c>
      <c r="E49">
        <v>395</v>
      </c>
      <c r="F49">
        <v>7</v>
      </c>
    </row>
    <row r="50" spans="1:6" x14ac:dyDescent="0.25">
      <c r="A50" s="1">
        <v>45316</v>
      </c>
      <c r="B50" t="s">
        <v>43</v>
      </c>
      <c r="C50" t="s">
        <v>38</v>
      </c>
      <c r="D50" t="s">
        <v>35</v>
      </c>
      <c r="E50">
        <v>863</v>
      </c>
      <c r="F50">
        <v>9</v>
      </c>
    </row>
    <row r="51" spans="1:6" x14ac:dyDescent="0.25">
      <c r="A51" s="1">
        <v>45320</v>
      </c>
      <c r="B51" t="s">
        <v>43</v>
      </c>
      <c r="C51" t="s">
        <v>38</v>
      </c>
      <c r="D51" t="s">
        <v>35</v>
      </c>
      <c r="E51">
        <v>140</v>
      </c>
      <c r="F51">
        <v>10</v>
      </c>
    </row>
    <row r="52" spans="1:6" x14ac:dyDescent="0.25">
      <c r="A52" s="1">
        <v>45321</v>
      </c>
      <c r="B52" t="s">
        <v>43</v>
      </c>
      <c r="C52" t="s">
        <v>40</v>
      </c>
      <c r="D52" t="s">
        <v>35</v>
      </c>
      <c r="E52">
        <v>256</v>
      </c>
      <c r="F52">
        <v>12</v>
      </c>
    </row>
    <row r="53" spans="1:6" x14ac:dyDescent="0.25">
      <c r="A53" s="1">
        <v>45323</v>
      </c>
      <c r="B53" t="s">
        <v>43</v>
      </c>
      <c r="C53" t="s">
        <v>38</v>
      </c>
      <c r="D53" t="s">
        <v>39</v>
      </c>
      <c r="E53">
        <v>912</v>
      </c>
      <c r="F53">
        <v>9</v>
      </c>
    </row>
    <row r="54" spans="1:6" x14ac:dyDescent="0.25">
      <c r="A54" s="1">
        <v>45324</v>
      </c>
      <c r="B54" t="s">
        <v>43</v>
      </c>
      <c r="C54" t="s">
        <v>37</v>
      </c>
      <c r="D54" t="s">
        <v>35</v>
      </c>
      <c r="E54">
        <v>164</v>
      </c>
      <c r="F54">
        <v>17</v>
      </c>
    </row>
    <row r="55" spans="1:6" x14ac:dyDescent="0.25">
      <c r="A55" s="1">
        <v>45325</v>
      </c>
      <c r="B55" t="s">
        <v>43</v>
      </c>
      <c r="C55" t="s">
        <v>40</v>
      </c>
      <c r="D55" t="s">
        <v>41</v>
      </c>
      <c r="E55">
        <v>956</v>
      </c>
      <c r="F55">
        <v>17</v>
      </c>
    </row>
    <row r="56" spans="1:6" x14ac:dyDescent="0.25">
      <c r="A56" s="1">
        <v>45334</v>
      </c>
      <c r="B56" t="s">
        <v>43</v>
      </c>
      <c r="C56" t="s">
        <v>38</v>
      </c>
      <c r="D56" t="s">
        <v>41</v>
      </c>
      <c r="E56">
        <v>598</v>
      </c>
      <c r="F56">
        <v>17</v>
      </c>
    </row>
    <row r="57" spans="1:6" x14ac:dyDescent="0.25">
      <c r="A57" s="1">
        <v>45336</v>
      </c>
      <c r="B57" t="s">
        <v>43</v>
      </c>
      <c r="C57" t="s">
        <v>37</v>
      </c>
      <c r="D57" t="s">
        <v>35</v>
      </c>
      <c r="E57">
        <v>491</v>
      </c>
      <c r="F57">
        <v>2</v>
      </c>
    </row>
    <row r="58" spans="1:6" x14ac:dyDescent="0.25">
      <c r="A58" s="1">
        <v>45343</v>
      </c>
      <c r="B58" t="s">
        <v>43</v>
      </c>
      <c r="C58" t="s">
        <v>34</v>
      </c>
      <c r="D58" t="s">
        <v>41</v>
      </c>
      <c r="E58">
        <v>330</v>
      </c>
      <c r="F58">
        <v>6</v>
      </c>
    </row>
    <row r="59" spans="1:6" x14ac:dyDescent="0.25">
      <c r="A59" s="1">
        <v>45350</v>
      </c>
      <c r="B59" t="s">
        <v>43</v>
      </c>
      <c r="C59" t="s">
        <v>37</v>
      </c>
      <c r="D59" t="s">
        <v>36</v>
      </c>
      <c r="E59">
        <v>132</v>
      </c>
      <c r="F59">
        <v>6</v>
      </c>
    </row>
    <row r="60" spans="1:6" x14ac:dyDescent="0.25">
      <c r="A60" s="1">
        <v>45357</v>
      </c>
      <c r="B60" t="s">
        <v>43</v>
      </c>
      <c r="C60" t="s">
        <v>40</v>
      </c>
      <c r="D60" t="s">
        <v>41</v>
      </c>
      <c r="E60">
        <v>198</v>
      </c>
      <c r="F60">
        <v>16</v>
      </c>
    </row>
    <row r="61" spans="1:6" x14ac:dyDescent="0.25">
      <c r="A61" s="1">
        <v>45362</v>
      </c>
      <c r="B61" t="s">
        <v>43</v>
      </c>
      <c r="C61" t="s">
        <v>34</v>
      </c>
      <c r="D61" t="s">
        <v>41</v>
      </c>
      <c r="E61">
        <v>838</v>
      </c>
      <c r="F61">
        <v>19</v>
      </c>
    </row>
    <row r="62" spans="1:6" x14ac:dyDescent="0.25">
      <c r="A62" s="1">
        <v>45365</v>
      </c>
      <c r="B62" t="s">
        <v>43</v>
      </c>
      <c r="C62" t="s">
        <v>37</v>
      </c>
      <c r="D62" t="s">
        <v>41</v>
      </c>
      <c r="E62">
        <v>742</v>
      </c>
      <c r="F62">
        <v>1</v>
      </c>
    </row>
    <row r="63" spans="1:6" x14ac:dyDescent="0.25">
      <c r="A63" s="1">
        <v>45372</v>
      </c>
      <c r="B63" t="s">
        <v>43</v>
      </c>
      <c r="C63" t="s">
        <v>40</v>
      </c>
      <c r="D63" t="s">
        <v>36</v>
      </c>
      <c r="E63">
        <v>970</v>
      </c>
      <c r="F63">
        <v>18</v>
      </c>
    </row>
    <row r="64" spans="1:6" x14ac:dyDescent="0.25">
      <c r="A64" s="1">
        <v>45376</v>
      </c>
      <c r="B64" t="s">
        <v>43</v>
      </c>
      <c r="C64" t="s">
        <v>38</v>
      </c>
      <c r="D64" t="s">
        <v>36</v>
      </c>
      <c r="E64">
        <v>114</v>
      </c>
      <c r="F64">
        <v>16</v>
      </c>
    </row>
    <row r="65" spans="1:6" x14ac:dyDescent="0.25">
      <c r="A65" s="1">
        <v>45388</v>
      </c>
      <c r="B65" t="s">
        <v>43</v>
      </c>
      <c r="C65" t="s">
        <v>37</v>
      </c>
      <c r="D65" t="s">
        <v>41</v>
      </c>
      <c r="E65">
        <v>999</v>
      </c>
      <c r="F65">
        <v>19</v>
      </c>
    </row>
    <row r="66" spans="1:6" x14ac:dyDescent="0.25">
      <c r="A66" s="1">
        <v>45292</v>
      </c>
      <c r="B66" t="s">
        <v>44</v>
      </c>
      <c r="C66" t="s">
        <v>38</v>
      </c>
      <c r="D66" t="s">
        <v>36</v>
      </c>
      <c r="E66">
        <v>802</v>
      </c>
      <c r="F66">
        <v>7</v>
      </c>
    </row>
    <row r="67" spans="1:6" x14ac:dyDescent="0.25">
      <c r="A67" s="1">
        <v>45294</v>
      </c>
      <c r="B67" t="s">
        <v>44</v>
      </c>
      <c r="C67" t="s">
        <v>34</v>
      </c>
      <c r="D67" t="s">
        <v>39</v>
      </c>
      <c r="E67">
        <v>829</v>
      </c>
      <c r="F67">
        <v>15</v>
      </c>
    </row>
    <row r="68" spans="1:6" x14ac:dyDescent="0.25">
      <c r="A68" s="1">
        <v>45297</v>
      </c>
      <c r="B68" t="s">
        <v>44</v>
      </c>
      <c r="C68" t="s">
        <v>40</v>
      </c>
      <c r="D68" t="s">
        <v>35</v>
      </c>
      <c r="E68">
        <v>301</v>
      </c>
      <c r="F68">
        <v>13</v>
      </c>
    </row>
    <row r="69" spans="1:6" x14ac:dyDescent="0.25">
      <c r="A69" s="1">
        <v>45298</v>
      </c>
      <c r="B69" t="s">
        <v>44</v>
      </c>
      <c r="C69" t="s">
        <v>37</v>
      </c>
      <c r="D69" t="s">
        <v>39</v>
      </c>
      <c r="E69">
        <v>369</v>
      </c>
      <c r="F69">
        <v>7</v>
      </c>
    </row>
    <row r="70" spans="1:6" x14ac:dyDescent="0.25">
      <c r="A70" s="1">
        <v>45310</v>
      </c>
      <c r="B70" t="s">
        <v>44</v>
      </c>
      <c r="C70" t="s">
        <v>34</v>
      </c>
      <c r="D70" t="s">
        <v>35</v>
      </c>
      <c r="E70">
        <v>848</v>
      </c>
      <c r="F70">
        <v>13</v>
      </c>
    </row>
    <row r="71" spans="1:6" x14ac:dyDescent="0.25">
      <c r="A71" s="1">
        <v>45312</v>
      </c>
      <c r="B71" t="s">
        <v>44</v>
      </c>
      <c r="C71" t="s">
        <v>34</v>
      </c>
      <c r="D71" t="s">
        <v>41</v>
      </c>
      <c r="E71">
        <v>978</v>
      </c>
      <c r="F71">
        <v>3</v>
      </c>
    </row>
    <row r="72" spans="1:6" x14ac:dyDescent="0.25">
      <c r="A72" s="1">
        <v>45315</v>
      </c>
      <c r="B72" t="s">
        <v>44</v>
      </c>
      <c r="C72" t="s">
        <v>40</v>
      </c>
      <c r="D72" t="s">
        <v>35</v>
      </c>
      <c r="E72">
        <v>316</v>
      </c>
      <c r="F72">
        <v>8</v>
      </c>
    </row>
    <row r="73" spans="1:6" x14ac:dyDescent="0.25">
      <c r="A73" s="1">
        <v>45319</v>
      </c>
      <c r="B73" t="s">
        <v>44</v>
      </c>
      <c r="C73" t="s">
        <v>38</v>
      </c>
      <c r="D73" t="s">
        <v>41</v>
      </c>
      <c r="E73">
        <v>592</v>
      </c>
      <c r="F73">
        <v>19</v>
      </c>
    </row>
    <row r="74" spans="1:6" x14ac:dyDescent="0.25">
      <c r="A74" s="1">
        <v>45329</v>
      </c>
      <c r="B74" t="s">
        <v>44</v>
      </c>
      <c r="C74" t="s">
        <v>34</v>
      </c>
      <c r="D74" t="s">
        <v>39</v>
      </c>
      <c r="E74">
        <v>228</v>
      </c>
      <c r="F74">
        <v>3</v>
      </c>
    </row>
    <row r="75" spans="1:6" x14ac:dyDescent="0.25">
      <c r="A75" s="1">
        <v>45332</v>
      </c>
      <c r="B75" t="s">
        <v>44</v>
      </c>
      <c r="C75" t="s">
        <v>38</v>
      </c>
      <c r="D75" t="s">
        <v>36</v>
      </c>
      <c r="E75">
        <v>162</v>
      </c>
      <c r="F75">
        <v>17</v>
      </c>
    </row>
    <row r="76" spans="1:6" x14ac:dyDescent="0.25">
      <c r="A76" s="1">
        <v>45335</v>
      </c>
      <c r="B76" t="s">
        <v>44</v>
      </c>
      <c r="C76" t="s">
        <v>40</v>
      </c>
      <c r="D76" t="s">
        <v>35</v>
      </c>
      <c r="E76">
        <v>692</v>
      </c>
      <c r="F76">
        <v>2</v>
      </c>
    </row>
    <row r="77" spans="1:6" x14ac:dyDescent="0.25">
      <c r="A77" s="1">
        <v>45339</v>
      </c>
      <c r="B77" t="s">
        <v>44</v>
      </c>
      <c r="C77" t="s">
        <v>37</v>
      </c>
      <c r="D77" t="s">
        <v>36</v>
      </c>
      <c r="E77">
        <v>388</v>
      </c>
      <c r="F77">
        <v>1</v>
      </c>
    </row>
    <row r="78" spans="1:6" x14ac:dyDescent="0.25">
      <c r="A78" s="1">
        <v>45340</v>
      </c>
      <c r="B78" t="s">
        <v>44</v>
      </c>
      <c r="C78" t="s">
        <v>34</v>
      </c>
      <c r="D78" t="s">
        <v>41</v>
      </c>
      <c r="E78">
        <v>478</v>
      </c>
      <c r="F78">
        <v>19</v>
      </c>
    </row>
    <row r="79" spans="1:6" x14ac:dyDescent="0.25">
      <c r="A79" s="1">
        <v>45344</v>
      </c>
      <c r="B79" t="s">
        <v>44</v>
      </c>
      <c r="C79" t="s">
        <v>34</v>
      </c>
      <c r="D79" t="s">
        <v>36</v>
      </c>
      <c r="E79">
        <v>140</v>
      </c>
      <c r="F79">
        <v>4</v>
      </c>
    </row>
    <row r="80" spans="1:6" x14ac:dyDescent="0.25">
      <c r="A80" s="1">
        <v>45351</v>
      </c>
      <c r="B80" t="s">
        <v>44</v>
      </c>
      <c r="C80" t="s">
        <v>40</v>
      </c>
      <c r="D80" t="s">
        <v>39</v>
      </c>
      <c r="E80">
        <v>147</v>
      </c>
      <c r="F80">
        <v>11</v>
      </c>
    </row>
    <row r="81" spans="1:6" x14ac:dyDescent="0.25">
      <c r="A81" s="1">
        <v>45353</v>
      </c>
      <c r="B81" t="s">
        <v>44</v>
      </c>
      <c r="C81" t="s">
        <v>34</v>
      </c>
      <c r="D81" t="s">
        <v>36</v>
      </c>
      <c r="E81">
        <v>506</v>
      </c>
      <c r="F81">
        <v>16</v>
      </c>
    </row>
    <row r="82" spans="1:6" x14ac:dyDescent="0.25">
      <c r="A82" s="1">
        <v>45380</v>
      </c>
      <c r="B82" t="s">
        <v>44</v>
      </c>
      <c r="C82" t="s">
        <v>40</v>
      </c>
      <c r="D82" t="s">
        <v>35</v>
      </c>
      <c r="E82">
        <v>560</v>
      </c>
      <c r="F82">
        <v>1</v>
      </c>
    </row>
    <row r="83" spans="1:6" x14ac:dyDescent="0.25">
      <c r="A83" s="1">
        <v>45383</v>
      </c>
      <c r="B83" t="s">
        <v>44</v>
      </c>
      <c r="C83" t="s">
        <v>38</v>
      </c>
      <c r="D83" t="s">
        <v>35</v>
      </c>
      <c r="E83">
        <v>963</v>
      </c>
      <c r="F83">
        <v>5</v>
      </c>
    </row>
    <row r="84" spans="1:6" x14ac:dyDescent="0.25">
      <c r="A84" s="1">
        <v>45385</v>
      </c>
      <c r="B84" t="s">
        <v>44</v>
      </c>
      <c r="C84" t="s">
        <v>38</v>
      </c>
      <c r="D84" t="s">
        <v>41</v>
      </c>
      <c r="E84">
        <v>340</v>
      </c>
      <c r="F84">
        <v>9</v>
      </c>
    </row>
    <row r="85" spans="1:6" x14ac:dyDescent="0.25">
      <c r="A85" s="1">
        <v>45387</v>
      </c>
      <c r="B85" t="s">
        <v>44</v>
      </c>
      <c r="C85" t="s">
        <v>40</v>
      </c>
      <c r="D85" t="s">
        <v>41</v>
      </c>
      <c r="E85">
        <v>195</v>
      </c>
      <c r="F85">
        <v>3</v>
      </c>
    </row>
    <row r="86" spans="1:6" x14ac:dyDescent="0.25">
      <c r="A86" s="1">
        <v>45389</v>
      </c>
      <c r="B86" t="s">
        <v>44</v>
      </c>
      <c r="C86" t="s">
        <v>40</v>
      </c>
      <c r="D86" t="s">
        <v>35</v>
      </c>
      <c r="E86">
        <v>833</v>
      </c>
      <c r="F86">
        <v>16</v>
      </c>
    </row>
    <row r="87" spans="1:6" x14ac:dyDescent="0.25">
      <c r="A87" s="1">
        <v>45303</v>
      </c>
      <c r="B87" t="s">
        <v>45</v>
      </c>
      <c r="C87" t="s">
        <v>37</v>
      </c>
      <c r="D87" t="s">
        <v>36</v>
      </c>
      <c r="E87">
        <v>561</v>
      </c>
      <c r="F87">
        <v>6</v>
      </c>
    </row>
    <row r="88" spans="1:6" x14ac:dyDescent="0.25">
      <c r="A88" s="1">
        <v>45308</v>
      </c>
      <c r="B88" t="s">
        <v>45</v>
      </c>
      <c r="C88" t="s">
        <v>37</v>
      </c>
      <c r="D88" t="s">
        <v>35</v>
      </c>
      <c r="E88">
        <v>824</v>
      </c>
      <c r="F88">
        <v>1</v>
      </c>
    </row>
    <row r="89" spans="1:6" x14ac:dyDescent="0.25">
      <c r="A89" s="1">
        <v>45314</v>
      </c>
      <c r="B89" t="s">
        <v>45</v>
      </c>
      <c r="C89" t="s">
        <v>40</v>
      </c>
      <c r="D89" t="s">
        <v>41</v>
      </c>
      <c r="E89">
        <v>891</v>
      </c>
      <c r="F89">
        <v>6</v>
      </c>
    </row>
    <row r="90" spans="1:6" x14ac:dyDescent="0.25">
      <c r="A90" s="1">
        <v>45322</v>
      </c>
      <c r="B90" t="s">
        <v>45</v>
      </c>
      <c r="C90" t="s">
        <v>34</v>
      </c>
      <c r="D90" t="s">
        <v>39</v>
      </c>
      <c r="E90">
        <v>114</v>
      </c>
      <c r="F90">
        <v>15</v>
      </c>
    </row>
    <row r="91" spans="1:6" x14ac:dyDescent="0.25">
      <c r="A91" s="1">
        <v>45327</v>
      </c>
      <c r="B91" t="s">
        <v>45</v>
      </c>
      <c r="C91" t="s">
        <v>38</v>
      </c>
      <c r="D91" t="s">
        <v>39</v>
      </c>
      <c r="E91">
        <v>620</v>
      </c>
      <c r="F91">
        <v>7</v>
      </c>
    </row>
    <row r="92" spans="1:6" x14ac:dyDescent="0.25">
      <c r="A92" s="1">
        <v>45331</v>
      </c>
      <c r="B92" t="s">
        <v>45</v>
      </c>
      <c r="C92" t="s">
        <v>34</v>
      </c>
      <c r="D92" t="s">
        <v>36</v>
      </c>
      <c r="E92">
        <v>571</v>
      </c>
      <c r="F92">
        <v>5</v>
      </c>
    </row>
    <row r="93" spans="1:6" x14ac:dyDescent="0.25">
      <c r="A93" s="1">
        <v>45333</v>
      </c>
      <c r="B93" t="s">
        <v>45</v>
      </c>
      <c r="C93" t="s">
        <v>38</v>
      </c>
      <c r="D93" t="s">
        <v>36</v>
      </c>
      <c r="E93">
        <v>238</v>
      </c>
      <c r="F93">
        <v>17</v>
      </c>
    </row>
    <row r="94" spans="1:6" x14ac:dyDescent="0.25">
      <c r="A94" s="1">
        <v>45341</v>
      </c>
      <c r="B94" t="s">
        <v>45</v>
      </c>
      <c r="C94" t="s">
        <v>40</v>
      </c>
      <c r="D94" t="s">
        <v>41</v>
      </c>
      <c r="E94">
        <v>872</v>
      </c>
      <c r="F94">
        <v>2</v>
      </c>
    </row>
    <row r="95" spans="1:6" x14ac:dyDescent="0.25">
      <c r="A95" s="1">
        <v>45342</v>
      </c>
      <c r="B95" t="s">
        <v>45</v>
      </c>
      <c r="C95" t="s">
        <v>38</v>
      </c>
      <c r="D95" t="s">
        <v>36</v>
      </c>
      <c r="E95">
        <v>589</v>
      </c>
      <c r="F95">
        <v>12</v>
      </c>
    </row>
    <row r="96" spans="1:6" x14ac:dyDescent="0.25">
      <c r="A96" s="1">
        <v>45346</v>
      </c>
      <c r="B96" t="s">
        <v>45</v>
      </c>
      <c r="C96" t="s">
        <v>37</v>
      </c>
      <c r="D96" t="s">
        <v>36</v>
      </c>
      <c r="E96">
        <v>234</v>
      </c>
      <c r="F96">
        <v>17</v>
      </c>
    </row>
    <row r="97" spans="1:6" x14ac:dyDescent="0.25">
      <c r="A97" s="1">
        <v>45347</v>
      </c>
      <c r="B97" t="s">
        <v>45</v>
      </c>
      <c r="C97" t="s">
        <v>34</v>
      </c>
      <c r="D97" t="s">
        <v>35</v>
      </c>
      <c r="E97">
        <v>300</v>
      </c>
      <c r="F97">
        <v>6</v>
      </c>
    </row>
    <row r="98" spans="1:6" x14ac:dyDescent="0.25">
      <c r="A98" s="1">
        <v>45349</v>
      </c>
      <c r="B98" t="s">
        <v>45</v>
      </c>
      <c r="C98" t="s">
        <v>40</v>
      </c>
      <c r="D98" t="s">
        <v>39</v>
      </c>
      <c r="E98">
        <v>879</v>
      </c>
      <c r="F98">
        <v>2</v>
      </c>
    </row>
    <row r="99" spans="1:6" x14ac:dyDescent="0.25">
      <c r="A99" s="1">
        <v>45354</v>
      </c>
      <c r="B99" t="s">
        <v>45</v>
      </c>
      <c r="C99" t="s">
        <v>34</v>
      </c>
      <c r="D99" t="s">
        <v>39</v>
      </c>
      <c r="E99">
        <v>673</v>
      </c>
      <c r="F99">
        <v>1</v>
      </c>
    </row>
    <row r="100" spans="1:6" x14ac:dyDescent="0.25">
      <c r="A100" s="1">
        <v>45355</v>
      </c>
      <c r="B100" t="s">
        <v>45</v>
      </c>
      <c r="C100" t="s">
        <v>40</v>
      </c>
      <c r="D100" t="s">
        <v>39</v>
      </c>
      <c r="E100">
        <v>827</v>
      </c>
      <c r="F100">
        <v>9</v>
      </c>
    </row>
    <row r="101" spans="1:6" x14ac:dyDescent="0.25">
      <c r="A101" s="1">
        <v>45373</v>
      </c>
      <c r="B101" t="s">
        <v>45</v>
      </c>
      <c r="C101" t="s">
        <v>38</v>
      </c>
      <c r="D101" t="s">
        <v>35</v>
      </c>
      <c r="E101">
        <v>894</v>
      </c>
      <c r="F101">
        <v>10</v>
      </c>
    </row>
    <row r="102" spans="1:6" x14ac:dyDescent="0.25">
      <c r="A102" s="1">
        <v>45379</v>
      </c>
      <c r="B102" t="s">
        <v>45</v>
      </c>
      <c r="C102" t="s">
        <v>37</v>
      </c>
      <c r="D102" t="s">
        <v>39</v>
      </c>
      <c r="E102">
        <v>991</v>
      </c>
      <c r="F102">
        <v>2</v>
      </c>
    </row>
    <row r="103" spans="1:6" x14ac:dyDescent="0.25">
      <c r="A103" s="1">
        <v>45384</v>
      </c>
      <c r="B103" t="s">
        <v>45</v>
      </c>
      <c r="C103" t="s">
        <v>37</v>
      </c>
      <c r="D103" t="s">
        <v>41</v>
      </c>
      <c r="E103">
        <v>842</v>
      </c>
      <c r="F10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Detail2</vt:lpstr>
      <vt:lpstr>Sales Data Analysis</vt:lpstr>
      <vt:lpstr>Detail1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2026-06-28T16:10:46Z</dcterms:modified>
  <cp:category/>
  <cp:contentStatus/>
</cp:coreProperties>
</file>