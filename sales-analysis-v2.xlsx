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Karen\Downloads\"/>
    </mc:Choice>
  </mc:AlternateContent>
  <bookViews>
    <workbookView xWindow="0" yWindow="0" windowWidth="23040" windowHeight="9192"/>
  </bookViews>
  <sheets>
    <sheet name="Sales Data Analysi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3" l="1"/>
  <c r="H3" i="3"/>
  <c r="H4" i="3"/>
  <c r="B9" i="3"/>
  <c r="B11" i="3"/>
  <c r="E6" i="3"/>
  <c r="E2" i="3"/>
  <c r="E4" i="3"/>
  <c r="E3" i="3"/>
  <c r="E5" i="3"/>
</calcChain>
</file>

<file path=xl/sharedStrings.xml><?xml version="1.0" encoding="utf-8"?>
<sst xmlns="http://schemas.openxmlformats.org/spreadsheetml/2006/main" count="29" uniqueCount="19">
  <si>
    <t>Name</t>
  </si>
  <si>
    <t>Department</t>
  </si>
  <si>
    <t>Sales</t>
  </si>
  <si>
    <t>Month</t>
  </si>
  <si>
    <t>Performance</t>
  </si>
  <si>
    <t>David</t>
  </si>
  <si>
    <t>Mar</t>
  </si>
  <si>
    <t>Mark</t>
  </si>
  <si>
    <t>Feb</t>
  </si>
  <si>
    <t>John</t>
  </si>
  <si>
    <t>Jan</t>
  </si>
  <si>
    <t>Sara</t>
  </si>
  <si>
    <t>IT</t>
  </si>
  <si>
    <t>Anna</t>
  </si>
  <si>
    <t>HR</t>
  </si>
  <si>
    <t>Metric</t>
  </si>
  <si>
    <t>Value</t>
  </si>
  <si>
    <t>Total Sales:</t>
  </si>
  <si>
    <t>Average Sales: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</si>
</sst>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_(* #,##0_);_(* \(#,##0\);_(* &quot;-&quot;??_);_(@_)"/>
    <numFmt numFmtId="169" formatCode="_([$$-409]* #,##0_);_([$$-409]* \(#,##0\);_([$$-409]* &quot;-&quot;??_);_(@_)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horizontal="left"/>
    </xf>
    <xf numFmtId="169" fontId="0" fillId="0" borderId="0" xfId="0" applyNumberFormat="1" applyAlignment="1">
      <alignment horizontal="left"/>
    </xf>
  </cellXfs>
  <cellStyles count="1">
    <cellStyle name="Обычный" xfId="0" builtinId="0"/>
  </cellStyles>
  <dxfs count="10">
    <dxf>
      <numFmt numFmtId="0" formatCode="General"/>
    </dxf>
    <dxf>
      <numFmt numFmtId="169" formatCode="_([$$-409]* #,##0_);_([$$-409]* \(#,##0\);_([$$-409]* &quot;-&quot;??_);_(@_)"/>
      <alignment horizontal="left"/>
    </dxf>
    <dxf>
      <alignment horizontal="left"/>
    </dxf>
    <dxf>
      <font>
        <b val="0"/>
      </font>
    </dxf>
    <dxf>
      <numFmt numFmtId="170" formatCode="m/d/yyyy"/>
    </dxf>
    <dxf>
      <numFmt numFmtId="170" formatCode="m/d/yyyy"/>
    </dxf>
    <dxf>
      <numFmt numFmtId="168" formatCode="_(* #,##0_);_(* \(#,##0\);_(* &quot;-&quot;??_);_(@_)"/>
    </dxf>
    <dxf>
      <numFmt numFmtId="169" formatCode="_([$$-409]* #,##0_);_([$$-409]* \(#,##0\);_([$$-409]* &quot;-&quot;??_);_(@_)"/>
    </dxf>
    <dxf>
      <numFmt numFmtId="30" formatCode="@"/>
    </dxf>
    <dxf>
      <font>
        <b val="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3" displayName="Table3" ref="A1:E6" totalsRowShown="0" headerRowDxfId="9">
  <autoFilter ref="A1:E6"/>
  <sortState ref="A2:E6">
    <sortCondition descending="1" ref="C1:C6"/>
  </sortState>
  <tableColumns count="5">
    <tableColumn id="1" name="Name"/>
    <tableColumn id="2" name="Department" dataDxfId="8"/>
    <tableColumn id="3" name="Sales" dataDxfId="7" totalsRowDxfId="6"/>
    <tableColumn id="4" name="Month" dataDxfId="5"/>
    <tableColumn id="5" name="Performance" dataDxfId="4">
      <calculatedColumnFormula>IF(C2&gt;1000, "Good", "Low")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8:B11" totalsRowShown="0" headerRowDxfId="3">
  <autoFilter ref="A8:B11"/>
  <tableColumns count="2">
    <tableColumn id="1" name="Metric" dataDxfId="2"/>
    <tableColumn id="2" name="Value" dataDxfId="1">
      <calculatedColumnFormula>AVERAGE(C2:C4)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G1:H4" totalsRowShown="0">
  <autoFilter ref="G1:H4"/>
  <tableColumns count="2">
    <tableColumn id="1" name="Name"/>
    <tableColumn id="2" name="Department" dataDxfId="0">
      <calculatedColumnFormula>IFERROR(VLOOKUP(G2,Table3[#All],2,FALSE), "Not found")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H12" sqref="H12"/>
    </sheetView>
  </sheetViews>
  <sheetFormatPr defaultRowHeight="13.8" x14ac:dyDescent="0.25"/>
  <cols>
    <col min="1" max="1" width="13.8984375" bestFit="1" customWidth="1"/>
    <col min="2" max="2" width="18.8984375" bestFit="1" customWidth="1"/>
    <col min="3" max="3" width="10.8984375" bestFit="1" customWidth="1"/>
    <col min="4" max="4" width="9.3984375" bestFit="1" customWidth="1"/>
    <col min="5" max="5" width="24.296875" bestFit="1" customWidth="1"/>
    <col min="8" max="8" width="14.296875" bestFit="1" customWidth="1"/>
  </cols>
  <sheetData>
    <row r="1" spans="1:8" x14ac:dyDescent="0.25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G1" t="s">
        <v>0</v>
      </c>
      <c r="H1" t="s">
        <v>1</v>
      </c>
    </row>
    <row r="2" spans="1:8" x14ac:dyDescent="0.25">
      <c r="A2" t="s">
        <v>5</v>
      </c>
      <c r="B2" s="2" t="s">
        <v>2</v>
      </c>
      <c r="C2" s="4">
        <v>2000</v>
      </c>
      <c r="D2" s="1" t="s">
        <v>6</v>
      </c>
      <c r="E2" s="1" t="str">
        <f>IF(C2&gt;1000, "Good", "Low")</f>
        <v>Good</v>
      </c>
      <c r="G2" t="s">
        <v>5</v>
      </c>
      <c r="H2" t="str">
        <f>IFERROR(VLOOKUP(G2,Table3[#All],2,FALSE), "Not found")</f>
        <v>Sales</v>
      </c>
    </row>
    <row r="3" spans="1:8" x14ac:dyDescent="0.25">
      <c r="A3" t="s">
        <v>7</v>
      </c>
      <c r="B3" s="2" t="s">
        <v>2</v>
      </c>
      <c r="C3" s="4">
        <v>1500</v>
      </c>
      <c r="D3" s="1" t="s">
        <v>8</v>
      </c>
      <c r="E3" s="1" t="str">
        <f>IF(C3&gt;1000, "Good", "Low")</f>
        <v>Good</v>
      </c>
      <c r="G3" t="s">
        <v>9</v>
      </c>
      <c r="H3" t="str">
        <f>IFERROR(VLOOKUP(G3,Table3[#All],2,FALSE), "Not found")</f>
        <v>Sales</v>
      </c>
    </row>
    <row r="4" spans="1:8" x14ac:dyDescent="0.25">
      <c r="A4" t="s">
        <v>9</v>
      </c>
      <c r="B4" s="2" t="s">
        <v>2</v>
      </c>
      <c r="C4" s="4">
        <v>1200</v>
      </c>
      <c r="D4" s="1" t="s">
        <v>10</v>
      </c>
      <c r="E4" s="1" t="str">
        <f>IF(C4&gt;1000, "Good", "Low")</f>
        <v>Good</v>
      </c>
      <c r="G4" t="s">
        <v>11</v>
      </c>
      <c r="H4" t="str">
        <f>IFERROR(VLOOKUP(G4,Table3[#All],2,FALSE), "Not found")</f>
        <v>IT</v>
      </c>
    </row>
    <row r="5" spans="1:8" x14ac:dyDescent="0.25">
      <c r="A5" t="s">
        <v>11</v>
      </c>
      <c r="B5" s="2" t="s">
        <v>12</v>
      </c>
      <c r="C5" s="4">
        <v>900</v>
      </c>
      <c r="D5" s="1" t="s">
        <v>8</v>
      </c>
      <c r="E5" s="1" t="str">
        <f>IF(C5&gt;1000, "Good", "Low")</f>
        <v>Low</v>
      </c>
    </row>
    <row r="6" spans="1:8" x14ac:dyDescent="0.25">
      <c r="A6" t="s">
        <v>13</v>
      </c>
      <c r="B6" s="2" t="s">
        <v>14</v>
      </c>
      <c r="C6" s="4">
        <v>800</v>
      </c>
      <c r="D6" s="1" t="s">
        <v>10</v>
      </c>
      <c r="E6" s="1" t="str">
        <f>IF(C6&gt;1000, "Good", "Low")</f>
        <v>Low</v>
      </c>
    </row>
    <row r="8" spans="1:8" x14ac:dyDescent="0.25">
      <c r="A8" t="s">
        <v>15</v>
      </c>
      <c r="B8" s="4" t="s">
        <v>16</v>
      </c>
    </row>
    <row r="9" spans="1:8" x14ac:dyDescent="0.25">
      <c r="A9" s="5" t="s">
        <v>17</v>
      </c>
      <c r="B9" s="6">
        <f>SUBTOTAL(9, (C2:C6))</f>
        <v>6400</v>
      </c>
    </row>
    <row r="10" spans="1:8" x14ac:dyDescent="0.25">
      <c r="A10" s="5"/>
      <c r="B10" s="6"/>
    </row>
    <row r="11" spans="1:8" x14ac:dyDescent="0.25">
      <c r="A11" s="5" t="s">
        <v>18</v>
      </c>
      <c r="B11" s="6">
        <f>SUBTOTAL(1, (C2:C6))</f>
        <v>1280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Sales Data Analysis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</dc:creator>
  <cp:keywords/>
  <dc:description/>
  <cp:lastModifiedBy>Karen</cp:lastModifiedBy>
  <cp:revision/>
  <dcterms:created xsi:type="dcterms:W3CDTF">2026-06-28T08:38:10Z</dcterms:created>
  <dcterms:modified xsi:type="dcterms:W3CDTF">2026-06-28T13:51:55Z</dcterms:modified>
  <cp:category/>
  <cp:contentStatus/>
</cp:coreProperties>
</file>